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ocuments\GitHub\Balatro\src\main\resources\com\"/>
    </mc:Choice>
  </mc:AlternateContent>
  <xr:revisionPtr revIDLastSave="0" documentId="13_ncr:1_{1D521942-BA47-4134-9A2E-F3BA3120DFF6}" xr6:coauthVersionLast="36" xr6:coauthVersionMax="36" xr10:uidLastSave="{00000000-0000-0000-0000-000000000000}"/>
  <bookViews>
    <workbookView xWindow="0" yWindow="0" windowWidth="21570" windowHeight="7890" xr2:uid="{706E2108-D16A-4E70-A675-C3702A172F02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9" i="1" l="1"/>
  <c r="M29" i="1"/>
  <c r="K29" i="1"/>
  <c r="J29" i="1"/>
  <c r="H29" i="1"/>
  <c r="G29" i="1"/>
  <c r="F29" i="1"/>
  <c r="E29" i="1"/>
  <c r="N37" i="1"/>
  <c r="M37" i="1"/>
  <c r="K37" i="1"/>
  <c r="J37" i="1"/>
  <c r="H37" i="1"/>
  <c r="G37" i="1"/>
  <c r="F37" i="1"/>
  <c r="E37" i="1"/>
  <c r="N35" i="1"/>
  <c r="M35" i="1"/>
  <c r="K35" i="1"/>
  <c r="J35" i="1"/>
  <c r="H35" i="1"/>
  <c r="G35" i="1"/>
  <c r="F35" i="1"/>
  <c r="E35" i="1"/>
  <c r="N33" i="1"/>
  <c r="M33" i="1"/>
  <c r="K33" i="1"/>
  <c r="J33" i="1"/>
  <c r="H33" i="1"/>
  <c r="G33" i="1"/>
  <c r="F33" i="1"/>
  <c r="E33" i="1"/>
  <c r="N31" i="1"/>
  <c r="M31" i="1"/>
  <c r="K31" i="1"/>
  <c r="J31" i="1"/>
  <c r="H31" i="1"/>
  <c r="G31" i="1"/>
  <c r="F31" i="1"/>
  <c r="E31" i="1"/>
  <c r="N25" i="1"/>
  <c r="M25" i="1"/>
  <c r="K25" i="1"/>
  <c r="J25" i="1"/>
  <c r="H25" i="1"/>
  <c r="G25" i="1"/>
  <c r="F25" i="1"/>
  <c r="E25" i="1"/>
  <c r="N23" i="1"/>
  <c r="M23" i="1"/>
  <c r="K23" i="1"/>
  <c r="J23" i="1"/>
  <c r="H23" i="1"/>
  <c r="G23" i="1"/>
  <c r="F23" i="1"/>
  <c r="E23" i="1"/>
  <c r="N21" i="1"/>
  <c r="M21" i="1"/>
  <c r="K21" i="1"/>
  <c r="J21" i="1"/>
  <c r="H21" i="1"/>
  <c r="G21" i="1"/>
  <c r="F21" i="1"/>
  <c r="E21" i="1"/>
  <c r="N19" i="1"/>
  <c r="M19" i="1"/>
  <c r="K19" i="1"/>
  <c r="J19" i="1"/>
  <c r="H19" i="1"/>
  <c r="G19" i="1"/>
  <c r="F19" i="1"/>
  <c r="E19" i="1"/>
  <c r="N17" i="1"/>
  <c r="M17" i="1"/>
  <c r="K17" i="1"/>
  <c r="J17" i="1"/>
  <c r="H17" i="1"/>
  <c r="G17" i="1"/>
  <c r="F17" i="1"/>
  <c r="E17" i="1"/>
  <c r="E43" i="1"/>
  <c r="F43" i="1"/>
  <c r="G43" i="1"/>
  <c r="H43" i="1"/>
  <c r="J43" i="1"/>
  <c r="K43" i="1"/>
  <c r="M43" i="1"/>
  <c r="N43" i="1"/>
  <c r="N15" i="1"/>
  <c r="M15" i="1"/>
  <c r="K15" i="1"/>
  <c r="J15" i="1"/>
  <c r="H15" i="1"/>
  <c r="G15" i="1"/>
  <c r="F15" i="1"/>
  <c r="E15" i="1"/>
  <c r="N13" i="1"/>
  <c r="M13" i="1"/>
  <c r="K13" i="1"/>
  <c r="J13" i="1"/>
  <c r="H13" i="1"/>
  <c r="G13" i="1"/>
  <c r="F13" i="1"/>
  <c r="E13" i="1"/>
  <c r="N9" i="1"/>
  <c r="M9" i="1"/>
  <c r="K9" i="1"/>
  <c r="J9" i="1"/>
  <c r="H9" i="1"/>
  <c r="G9" i="1"/>
  <c r="F9" i="1"/>
  <c r="E9" i="1"/>
  <c r="E7" i="1"/>
  <c r="F7" i="1"/>
  <c r="G7" i="1"/>
  <c r="H7" i="1"/>
  <c r="J7" i="1"/>
  <c r="K7" i="1"/>
  <c r="M7" i="1"/>
  <c r="N7" i="1"/>
  <c r="E11" i="1"/>
  <c r="F11" i="1"/>
  <c r="G11" i="1"/>
  <c r="H11" i="1"/>
  <c r="J11" i="1"/>
  <c r="K11" i="1"/>
  <c r="M11" i="1"/>
  <c r="N11" i="1"/>
  <c r="G44" i="1" l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5" i="1"/>
  <c r="H5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N44" i="1"/>
  <c r="N45" i="1"/>
  <c r="N46" i="1"/>
  <c r="N47" i="1"/>
  <c r="N48" i="1"/>
  <c r="N49" i="1"/>
  <c r="N50" i="1"/>
  <c r="N51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5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M44" i="1"/>
  <c r="M45" i="1"/>
  <c r="M46" i="1"/>
  <c r="M47" i="1"/>
  <c r="M48" i="1"/>
  <c r="M49" i="1"/>
  <c r="M50" i="1"/>
  <c r="M51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5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K44" i="1"/>
  <c r="K45" i="1"/>
  <c r="K46" i="1"/>
  <c r="K47" i="1"/>
  <c r="K48" i="1"/>
  <c r="K49" i="1"/>
  <c r="K50" i="1"/>
  <c r="K51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5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J44" i="1"/>
  <c r="J45" i="1"/>
  <c r="J46" i="1"/>
  <c r="J47" i="1"/>
  <c r="J48" i="1"/>
  <c r="J49" i="1"/>
  <c r="J50" i="1"/>
  <c r="J51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5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F44" i="1"/>
  <c r="F45" i="1"/>
  <c r="F46" i="1"/>
  <c r="F47" i="1"/>
  <c r="F48" i="1"/>
  <c r="F49" i="1"/>
  <c r="F50" i="1"/>
  <c r="F51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5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E44" i="1"/>
  <c r="E45" i="1"/>
  <c r="E46" i="1"/>
  <c r="E47" i="1"/>
  <c r="E48" i="1"/>
  <c r="E49" i="1"/>
  <c r="E50" i="1"/>
  <c r="E51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5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J10" i="2" l="1"/>
  <c r="K10" i="2"/>
  <c r="L10" i="2"/>
  <c r="M10" i="2"/>
  <c r="N10" i="2"/>
  <c r="O10" i="2"/>
  <c r="J11" i="2"/>
  <c r="K11" i="2"/>
  <c r="L11" i="2"/>
  <c r="M11" i="2"/>
  <c r="N11" i="2"/>
  <c r="O11" i="2"/>
  <c r="J12" i="2"/>
  <c r="K12" i="2"/>
  <c r="L12" i="2"/>
  <c r="M12" i="2"/>
  <c r="N12" i="2"/>
  <c r="O12" i="2"/>
  <c r="J13" i="2"/>
  <c r="L13" i="2" s="1"/>
  <c r="K13" i="2"/>
  <c r="J14" i="2"/>
  <c r="K14" i="2"/>
  <c r="L14" i="2"/>
  <c r="M14" i="2"/>
  <c r="N14" i="2"/>
  <c r="O14" i="2"/>
  <c r="J15" i="2"/>
  <c r="K15" i="2"/>
  <c r="L15" i="2"/>
  <c r="M15" i="2"/>
  <c r="N15" i="2"/>
  <c r="O15" i="2"/>
  <c r="J16" i="2"/>
  <c r="N16" i="2" s="1"/>
  <c r="J17" i="2"/>
  <c r="K17" i="2"/>
  <c r="L17" i="2"/>
  <c r="M17" i="2"/>
  <c r="N17" i="2"/>
  <c r="O17" i="2"/>
  <c r="J18" i="2"/>
  <c r="K18" i="2"/>
  <c r="L18" i="2"/>
  <c r="M18" i="2"/>
  <c r="N18" i="2"/>
  <c r="O18" i="2"/>
  <c r="J19" i="2"/>
  <c r="K19" i="2"/>
  <c r="L19" i="2"/>
  <c r="M19" i="2"/>
  <c r="N19" i="2"/>
  <c r="O19" i="2"/>
  <c r="J20" i="2"/>
  <c r="K20" i="2"/>
  <c r="L20" i="2"/>
  <c r="M20" i="2"/>
  <c r="N20" i="2"/>
  <c r="O20" i="2"/>
  <c r="J21" i="2"/>
  <c r="K21" i="2"/>
  <c r="L21" i="2"/>
  <c r="M21" i="2"/>
  <c r="N21" i="2"/>
  <c r="O21" i="2"/>
  <c r="J22" i="2"/>
  <c r="K22" i="2"/>
  <c r="L22" i="2"/>
  <c r="M22" i="2"/>
  <c r="N22" i="2"/>
  <c r="O22" i="2"/>
  <c r="J23" i="2"/>
  <c r="L23" i="2" s="1"/>
  <c r="K23" i="2"/>
  <c r="J24" i="2"/>
  <c r="K24" i="2"/>
  <c r="L24" i="2"/>
  <c r="M24" i="2"/>
  <c r="N24" i="2"/>
  <c r="O24" i="2"/>
  <c r="J25" i="2"/>
  <c r="K25" i="2"/>
  <c r="L25" i="2"/>
  <c r="M25" i="2"/>
  <c r="N25" i="2"/>
  <c r="O25" i="2"/>
  <c r="J26" i="2"/>
  <c r="N26" i="2" s="1"/>
  <c r="K26" i="2"/>
  <c r="L26" i="2"/>
  <c r="M26" i="2"/>
  <c r="J27" i="2"/>
  <c r="K27" i="2"/>
  <c r="L27" i="2"/>
  <c r="M27" i="2"/>
  <c r="N27" i="2"/>
  <c r="O27" i="2"/>
  <c r="J28" i="2"/>
  <c r="K28" i="2"/>
  <c r="L28" i="2"/>
  <c r="M28" i="2"/>
  <c r="N28" i="2"/>
  <c r="O28" i="2"/>
  <c r="J29" i="2"/>
  <c r="K29" i="2"/>
  <c r="L29" i="2"/>
  <c r="M29" i="2"/>
  <c r="N29" i="2"/>
  <c r="O29" i="2"/>
  <c r="J30" i="2"/>
  <c r="K30" i="2"/>
  <c r="L30" i="2"/>
  <c r="M30" i="2"/>
  <c r="N30" i="2"/>
  <c r="O30" i="2"/>
  <c r="J31" i="2"/>
  <c r="K31" i="2"/>
  <c r="L31" i="2"/>
  <c r="M31" i="2"/>
  <c r="N31" i="2"/>
  <c r="O31" i="2"/>
  <c r="J32" i="2"/>
  <c r="K32" i="2"/>
  <c r="L32" i="2"/>
  <c r="M32" i="2"/>
  <c r="N32" i="2"/>
  <c r="O32" i="2"/>
  <c r="J33" i="2"/>
  <c r="L33" i="2" s="1"/>
  <c r="K33" i="2"/>
  <c r="J34" i="2"/>
  <c r="K34" i="2"/>
  <c r="L34" i="2"/>
  <c r="M34" i="2"/>
  <c r="N34" i="2"/>
  <c r="O34" i="2"/>
  <c r="J35" i="2"/>
  <c r="K35" i="2"/>
  <c r="L35" i="2"/>
  <c r="M35" i="2"/>
  <c r="N35" i="2"/>
  <c r="O35" i="2"/>
  <c r="J36" i="2"/>
  <c r="N36" i="2" s="1"/>
  <c r="K36" i="2"/>
  <c r="L36" i="2"/>
  <c r="M36" i="2"/>
  <c r="J37" i="2"/>
  <c r="K37" i="2"/>
  <c r="L37" i="2"/>
  <c r="M37" i="2"/>
  <c r="N37" i="2"/>
  <c r="O37" i="2"/>
  <c r="J38" i="2"/>
  <c r="K38" i="2"/>
  <c r="L38" i="2"/>
  <c r="M38" i="2"/>
  <c r="N38" i="2"/>
  <c r="O38" i="2"/>
  <c r="J39" i="2"/>
  <c r="K39" i="2"/>
  <c r="L39" i="2"/>
  <c r="M39" i="2"/>
  <c r="N39" i="2"/>
  <c r="O39" i="2"/>
  <c r="J40" i="2"/>
  <c r="K40" i="2"/>
  <c r="L40" i="2"/>
  <c r="M40" i="2"/>
  <c r="N40" i="2"/>
  <c r="O40" i="2"/>
  <c r="J41" i="2"/>
  <c r="K41" i="2"/>
  <c r="L41" i="2"/>
  <c r="M41" i="2"/>
  <c r="N41" i="2"/>
  <c r="O41" i="2"/>
  <c r="J42" i="2"/>
  <c r="K42" i="2"/>
  <c r="L42" i="2"/>
  <c r="M42" i="2"/>
  <c r="N42" i="2"/>
  <c r="O42" i="2"/>
  <c r="J43" i="2"/>
  <c r="L43" i="2" s="1"/>
  <c r="K43" i="2"/>
  <c r="J44" i="2"/>
  <c r="K44" i="2"/>
  <c r="L44" i="2"/>
  <c r="M44" i="2"/>
  <c r="N44" i="2"/>
  <c r="O44" i="2"/>
  <c r="J45" i="2"/>
  <c r="K45" i="2"/>
  <c r="L45" i="2"/>
  <c r="M45" i="2"/>
  <c r="N45" i="2"/>
  <c r="O45" i="2"/>
  <c r="J46" i="2"/>
  <c r="N46" i="2" s="1"/>
  <c r="K46" i="2"/>
  <c r="L46" i="2"/>
  <c r="M46" i="2"/>
  <c r="J47" i="2"/>
  <c r="K47" i="2"/>
  <c r="L47" i="2"/>
  <c r="M47" i="2"/>
  <c r="N47" i="2"/>
  <c r="O47" i="2"/>
  <c r="J48" i="2"/>
  <c r="K48" i="2"/>
  <c r="L48" i="2"/>
  <c r="M48" i="2"/>
  <c r="N48" i="2"/>
  <c r="O48" i="2"/>
  <c r="J49" i="2"/>
  <c r="K49" i="2"/>
  <c r="L49" i="2"/>
  <c r="M49" i="2"/>
  <c r="N49" i="2"/>
  <c r="O49" i="2"/>
  <c r="J50" i="2"/>
  <c r="K50" i="2"/>
  <c r="L50" i="2"/>
  <c r="M50" i="2"/>
  <c r="N50" i="2"/>
  <c r="O50" i="2"/>
  <c r="J51" i="2"/>
  <c r="K51" i="2"/>
  <c r="L51" i="2"/>
  <c r="M51" i="2"/>
  <c r="N51" i="2"/>
  <c r="O51" i="2"/>
  <c r="J52" i="2"/>
  <c r="K52" i="2"/>
  <c r="L52" i="2"/>
  <c r="M52" i="2"/>
  <c r="N52" i="2"/>
  <c r="O52" i="2"/>
  <c r="J53" i="2"/>
  <c r="L53" i="2" s="1"/>
  <c r="K53" i="2"/>
  <c r="J54" i="2"/>
  <c r="K54" i="2"/>
  <c r="L54" i="2"/>
  <c r="M54" i="2"/>
  <c r="N54" i="2"/>
  <c r="O54" i="2"/>
  <c r="J55" i="2"/>
  <c r="K55" i="2"/>
  <c r="L55" i="2"/>
  <c r="M55" i="2"/>
  <c r="N55" i="2"/>
  <c r="O55" i="2"/>
  <c r="J56" i="2"/>
  <c r="N56" i="2" s="1"/>
  <c r="K56" i="2"/>
  <c r="L56" i="2"/>
  <c r="M56" i="2"/>
  <c r="L9" i="2"/>
  <c r="M9" i="2"/>
  <c r="N9" i="2"/>
  <c r="O9" i="2"/>
  <c r="K9" i="2"/>
  <c r="J9" i="2"/>
  <c r="M16" i="2" l="1"/>
  <c r="O53" i="2"/>
  <c r="O33" i="2"/>
  <c r="O23" i="2"/>
  <c r="O13" i="2"/>
  <c r="N53" i="2"/>
  <c r="N43" i="2"/>
  <c r="N33" i="2"/>
  <c r="N23" i="2"/>
  <c r="N13" i="2"/>
  <c r="L16" i="2"/>
  <c r="K16" i="2"/>
  <c r="O43" i="2"/>
  <c r="O56" i="2"/>
  <c r="M53" i="2"/>
  <c r="O46" i="2"/>
  <c r="M43" i="2"/>
  <c r="O36" i="2"/>
  <c r="M33" i="2"/>
  <c r="O26" i="2"/>
  <c r="M23" i="2"/>
  <c r="O16" i="2"/>
  <c r="M13" i="2"/>
  <c r="A4" i="2"/>
  <c r="B4" i="2" s="1"/>
  <c r="C4" i="2" s="1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B3" i="2"/>
  <c r="P3" i="2" s="1"/>
  <c r="C3" i="2"/>
  <c r="D3" i="2"/>
  <c r="E3" i="2"/>
  <c r="F3" i="2"/>
  <c r="G3" i="2"/>
  <c r="H3" i="2"/>
  <c r="I3" i="2"/>
  <c r="J3" i="2"/>
  <c r="K3" i="2"/>
  <c r="L3" i="2"/>
  <c r="M3" i="2"/>
  <c r="N3" i="2"/>
  <c r="O3" i="2"/>
  <c r="A3" i="2"/>
  <c r="P2" i="2"/>
</calcChain>
</file>

<file path=xl/sharedStrings.xml><?xml version="1.0" encoding="utf-8"?>
<sst xmlns="http://schemas.openxmlformats.org/spreadsheetml/2006/main" count="52" uniqueCount="44">
  <si>
    <t>Play Button</t>
  </si>
  <si>
    <t>Inventar</t>
  </si>
  <si>
    <t>Holding Hand</t>
  </si>
  <si>
    <t>Sort</t>
  </si>
  <si>
    <t>Reward</t>
  </si>
  <si>
    <t>Shop</t>
  </si>
  <si>
    <t>Blind Panel</t>
  </si>
  <si>
    <t>Blinds</t>
  </si>
  <si>
    <t>Blinds Margin</t>
  </si>
  <si>
    <t>Info Bereich</t>
  </si>
  <si>
    <t>Picked Blind</t>
  </si>
  <si>
    <t>Joker</t>
  </si>
  <si>
    <t>Standart</t>
  </si>
  <si>
    <t>Arcana</t>
  </si>
  <si>
    <t>Celestrial</t>
  </si>
  <si>
    <t>Buffoon</t>
  </si>
  <si>
    <t>Spectral</t>
  </si>
  <si>
    <t>Booster</t>
  </si>
  <si>
    <t>Top</t>
  </si>
  <si>
    <t>Planet</t>
  </si>
  <si>
    <t>Tarot</t>
  </si>
  <si>
    <t>Playing Card</t>
  </si>
  <si>
    <t>Price Tag</t>
  </si>
  <si>
    <t>Buy Tag</t>
  </si>
  <si>
    <t>Sell Tag</t>
  </si>
  <si>
    <t>Optionen</t>
  </si>
  <si>
    <t>Option Selection Button</t>
  </si>
  <si>
    <t>Audio Settings</t>
  </si>
  <si>
    <t>Audio Regler</t>
  </si>
  <si>
    <t>Menu</t>
  </si>
  <si>
    <t xml:space="preserve">Breite </t>
  </si>
  <si>
    <t>Höhe</t>
  </si>
  <si>
    <t>New Game</t>
  </si>
  <si>
    <t>Profile</t>
  </si>
  <si>
    <t>Language</t>
  </si>
  <si>
    <t>Collection</t>
  </si>
  <si>
    <t>Deck Overview</t>
  </si>
  <si>
    <t>Run Info</t>
  </si>
  <si>
    <t>Esc Menu</t>
  </si>
  <si>
    <t>Stats</t>
  </si>
  <si>
    <t>CardStats</t>
  </si>
  <si>
    <t>Game Screen Layout</t>
  </si>
  <si>
    <t>Cards</t>
  </si>
  <si>
    <t>Cards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</si>
</sst>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BCBEC4"/>
      <name val="JetBrains Mono"/>
      <family val="3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4">
    <xf numFmtId="0" fontId="0" fillId="0" borderId="0" xfId="0"/>
    <xf numFmtId="9" fontId="0" fillId="0" borderId="0" xfId="1" applyFont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3" borderId="0" xfId="3" applyBorder="1"/>
    <xf numFmtId="9" fontId="1" fillId="3" borderId="0" xfId="3" applyNumberFormat="1" applyBorder="1"/>
    <xf numFmtId="0" fontId="1" fillId="4" borderId="0" xfId="4"/>
    <xf numFmtId="0" fontId="1" fillId="4" borderId="0" xfId="4" applyNumberFormat="1"/>
    <xf numFmtId="9" fontId="1" fillId="4" borderId="0" xfId="4" applyNumberFormat="1"/>
    <xf numFmtId="0" fontId="0" fillId="3" borderId="0" xfId="3" applyFont="1" applyBorder="1"/>
    <xf numFmtId="0" fontId="0" fillId="4" borderId="0" xfId="4" applyFont="1"/>
    <xf numFmtId="0" fontId="3" fillId="2" borderId="0" xfId="2"/>
    <xf numFmtId="0" fontId="3" fillId="2" borderId="0" xfId="2" applyBorder="1"/>
    <xf numFmtId="9" fontId="3" fillId="2" borderId="0" xfId="2" applyNumberFormat="1"/>
  </cellXfs>
  <cellStyles count="5">
    <cellStyle name="20 % - Akzent1" xfId="3" builtinId="30"/>
    <cellStyle name="20 % - Akzent2" xfId="4" builtinId="34"/>
    <cellStyle name="Prozent" xfId="1" builtinId="5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2DC3-6553-4C6D-A135-8A8C4D8FA77D}">
  <dimension ref="A1:O111"/>
  <sheetViews>
    <sheetView tabSelected="1" topLeftCell="A25" zoomScaleNormal="100" workbookViewId="0">
      <selection activeCell="P33" sqref="P33"/>
    </sheetView>
  </sheetViews>
  <sheetFormatPr baseColWidth="10" defaultRowHeight="15"/>
  <cols>
    <col min="3" max="3" width="11.42578125" style="4"/>
    <col min="4" max="4" width="11.42578125" style="6"/>
    <col min="5" max="6" width="11.42578125" style="1"/>
    <col min="7" max="7" width="11.42578125" style="5"/>
    <col min="8" max="8" width="11.42578125" style="8"/>
    <col min="9" max="9" width="11.42578125" style="1"/>
    <col min="10" max="10" width="11.42578125" style="4"/>
    <col min="11" max="11" width="11.42578125" style="6"/>
    <col min="13" max="13" width="11.42578125" style="4"/>
    <col min="14" max="14" width="11.42578125" style="6"/>
  </cols>
  <sheetData>
    <row r="1" spans="1:15">
      <c r="C1" s="9" t="s">
        <v>30</v>
      </c>
      <c r="D1" s="10" t="s">
        <v>31</v>
      </c>
      <c r="G1" s="9" t="s">
        <v>30</v>
      </c>
      <c r="H1" s="10" t="s">
        <v>31</v>
      </c>
      <c r="J1" s="9" t="s">
        <v>30</v>
      </c>
      <c r="K1" s="10" t="s">
        <v>31</v>
      </c>
      <c r="M1" s="9" t="s">
        <v>30</v>
      </c>
      <c r="N1" s="10" t="s">
        <v>31</v>
      </c>
    </row>
    <row r="2" spans="1:15">
      <c r="C2" s="4">
        <v>2560</v>
      </c>
      <c r="D2" s="6">
        <v>1440</v>
      </c>
      <c r="G2" s="4">
        <v>3840</v>
      </c>
      <c r="H2" s="7">
        <v>2160</v>
      </c>
      <c r="J2" s="4">
        <v>1920</v>
      </c>
      <c r="K2" s="6">
        <v>1080</v>
      </c>
      <c r="M2" s="4">
        <v>1280</v>
      </c>
      <c r="N2" s="6">
        <v>720</v>
      </c>
    </row>
    <row r="3" spans="1:15">
      <c r="A3" s="11" t="s">
        <v>29</v>
      </c>
      <c r="B3" s="11"/>
      <c r="C3" s="12"/>
      <c r="D3" s="11"/>
      <c r="E3" s="13"/>
      <c r="F3" s="13"/>
      <c r="G3" s="12"/>
      <c r="H3" s="11"/>
      <c r="I3" s="13"/>
      <c r="J3" s="12"/>
      <c r="K3" s="11"/>
      <c r="L3" s="11"/>
      <c r="M3" s="12"/>
      <c r="N3" s="11"/>
      <c r="O3" s="11"/>
    </row>
    <row r="4" spans="1:15">
      <c r="G4" s="4"/>
      <c r="H4" s="6"/>
    </row>
    <row r="5" spans="1:15">
      <c r="A5" t="s">
        <v>25</v>
      </c>
      <c r="C5" s="4">
        <v>1444</v>
      </c>
      <c r="D5" s="6">
        <v>1090</v>
      </c>
      <c r="E5" s="1">
        <f xml:space="preserve"> C5/C$2</f>
        <v>0.56406250000000002</v>
      </c>
      <c r="F5" s="1">
        <f xml:space="preserve"> D5/D$2</f>
        <v>0.75694444444444442</v>
      </c>
      <c r="G5" s="4">
        <f>IF(ISBLANK(C5),0,(C5*G$2/C$2))</f>
        <v>2166</v>
      </c>
      <c r="H5" s="6">
        <f>IF(ISBLANK(D5),0,(D5*H$2/D$2))</f>
        <v>1635</v>
      </c>
      <c r="J5" s="4">
        <f>IF(ISBLANK(C5),0,(C5*J$2/C$2))</f>
        <v>1083</v>
      </c>
      <c r="K5" s="6">
        <f>IF(ISBLANK(D5),0,(D5*K$2/D$2))</f>
        <v>817.5</v>
      </c>
      <c r="M5" s="4">
        <f>IF(ISBLANK(C5),0,(C5*M$2/C$2))</f>
        <v>722</v>
      </c>
      <c r="N5" s="6">
        <f>IF(ISBLANK(D5),0,(D5*N$2/D$2))</f>
        <v>545</v>
      </c>
    </row>
    <row r="6" spans="1:15">
      <c r="G6" s="4"/>
      <c r="H6" s="6"/>
    </row>
    <row r="7" spans="1:15">
      <c r="A7" t="s">
        <v>32</v>
      </c>
      <c r="C7" s="4">
        <v>1214</v>
      </c>
      <c r="D7" s="6">
        <v>1216</v>
      </c>
      <c r="E7" s="1">
        <f t="shared" ref="E7:E43" si="0" xml:space="preserve"> C7/C$2</f>
        <v>0.47421875000000002</v>
      </c>
      <c r="F7" s="1">
        <f t="shared" ref="F7:F43" si="1" xml:space="preserve"> D7/D$2</f>
        <v>0.84444444444444444</v>
      </c>
      <c r="G7" s="4">
        <f t="shared" ref="G7:G43" si="2">IF(ISBLANK(C7),0,(C7*G$2/C$2))</f>
        <v>1821</v>
      </c>
      <c r="H7" s="6">
        <f t="shared" ref="H7:H43" si="3">IF(ISBLANK(D7),0,(D7*H$2/D$2))</f>
        <v>1824</v>
      </c>
      <c r="J7" s="4">
        <f t="shared" ref="J7:J43" si="4">IF(ISBLANK(C7),0,(C7*J$2/C$2))</f>
        <v>910.5</v>
      </c>
      <c r="K7" s="6">
        <f t="shared" ref="K7:K43" si="5">IF(ISBLANK(D7),0,(D7*K$2/D$2))</f>
        <v>912</v>
      </c>
      <c r="M7" s="4">
        <f t="shared" ref="M7:M43" si="6">IF(ISBLANK(C7),0,(C7*M$2/C$2))</f>
        <v>607</v>
      </c>
      <c r="N7" s="6">
        <f t="shared" ref="N7:N43" si="7">IF(ISBLANK(D7),0,(D7*N$2/D$2))</f>
        <v>608</v>
      </c>
    </row>
    <row r="8" spans="1:15">
      <c r="G8" s="4"/>
      <c r="H8" s="6"/>
    </row>
    <row r="9" spans="1:15">
      <c r="A9" t="s">
        <v>33</v>
      </c>
      <c r="C9" s="4">
        <v>1262</v>
      </c>
      <c r="D9" s="6">
        <v>876</v>
      </c>
      <c r="E9" s="1">
        <f t="shared" ref="E9" si="8" xml:space="preserve"> C9/C$2</f>
        <v>0.49296875000000001</v>
      </c>
      <c r="F9" s="1">
        <f t="shared" ref="F9" si="9" xml:space="preserve"> D9/D$2</f>
        <v>0.60833333333333328</v>
      </c>
      <c r="G9" s="4">
        <f t="shared" ref="G9" si="10">IF(ISBLANK(C9),0,(C9*G$2/C$2))</f>
        <v>1893</v>
      </c>
      <c r="H9" s="6">
        <f t="shared" ref="H9" si="11">IF(ISBLANK(D9),0,(D9*H$2/D$2))</f>
        <v>1314</v>
      </c>
      <c r="J9" s="4">
        <f t="shared" ref="J9" si="12">IF(ISBLANK(C9),0,(C9*J$2/C$2))</f>
        <v>946.5</v>
      </c>
      <c r="K9" s="6">
        <f t="shared" ref="K9" si="13">IF(ISBLANK(D9),0,(D9*K$2/D$2))</f>
        <v>657</v>
      </c>
      <c r="M9" s="4">
        <f t="shared" ref="M9" si="14">IF(ISBLANK(C9),0,(C9*M$2/C$2))</f>
        <v>631</v>
      </c>
      <c r="N9" s="6">
        <f t="shared" ref="N9" si="15">IF(ISBLANK(D9),0,(D9*N$2/D$2))</f>
        <v>438</v>
      </c>
    </row>
    <row r="10" spans="1:15">
      <c r="G10" s="4"/>
      <c r="H10" s="6"/>
    </row>
    <row r="11" spans="1:15">
      <c r="A11" t="s">
        <v>34</v>
      </c>
      <c r="C11" s="4">
        <v>1652</v>
      </c>
      <c r="D11" s="6">
        <v>840</v>
      </c>
      <c r="E11" s="1">
        <f t="shared" si="0"/>
        <v>0.64531249999999996</v>
      </c>
      <c r="F11" s="1">
        <f t="shared" si="1"/>
        <v>0.58333333333333337</v>
      </c>
      <c r="G11" s="4">
        <f t="shared" si="2"/>
        <v>2478</v>
      </c>
      <c r="H11" s="6">
        <f t="shared" si="3"/>
        <v>1260</v>
      </c>
      <c r="J11" s="4">
        <f t="shared" si="4"/>
        <v>1239</v>
      </c>
      <c r="K11" s="6">
        <f t="shared" si="5"/>
        <v>630</v>
      </c>
      <c r="M11" s="4">
        <f t="shared" si="6"/>
        <v>826</v>
      </c>
      <c r="N11" s="6">
        <f t="shared" si="7"/>
        <v>420</v>
      </c>
    </row>
    <row r="12" spans="1:15">
      <c r="G12" s="4"/>
      <c r="H12" s="6"/>
    </row>
    <row r="13" spans="1:15">
      <c r="A13" t="s">
        <v>35</v>
      </c>
      <c r="C13" s="4">
        <v>1294</v>
      </c>
      <c r="D13" s="6">
        <v>964</v>
      </c>
      <c r="E13" s="1">
        <f t="shared" ref="E13" si="16" xml:space="preserve"> C13/C$2</f>
        <v>0.50546875000000002</v>
      </c>
      <c r="F13" s="1">
        <f t="shared" ref="F13" si="17" xml:space="preserve"> D13/D$2</f>
        <v>0.6694444444444444</v>
      </c>
      <c r="G13" s="4">
        <f t="shared" ref="G13" si="18">IF(ISBLANK(C13),0,(C13*G$2/C$2))</f>
        <v>1941</v>
      </c>
      <c r="H13" s="6">
        <f t="shared" ref="H13" si="19">IF(ISBLANK(D13),0,(D13*H$2/D$2))</f>
        <v>1446</v>
      </c>
      <c r="J13" s="4">
        <f t="shared" ref="J13" si="20">IF(ISBLANK(C13),0,(C13*J$2/C$2))</f>
        <v>970.5</v>
      </c>
      <c r="K13" s="6">
        <f t="shared" ref="K13" si="21">IF(ISBLANK(D13),0,(D13*K$2/D$2))</f>
        <v>723</v>
      </c>
      <c r="M13" s="4">
        <f t="shared" ref="M13" si="22">IF(ISBLANK(C13),0,(C13*M$2/C$2))</f>
        <v>647</v>
      </c>
      <c r="N13" s="6">
        <f t="shared" ref="N13" si="23">IF(ISBLANK(D13),0,(D13*N$2/D$2))</f>
        <v>482</v>
      </c>
    </row>
    <row r="14" spans="1:15">
      <c r="G14" s="4"/>
      <c r="H14" s="6"/>
    </row>
    <row r="15" spans="1:15">
      <c r="A15" t="s">
        <v>36</v>
      </c>
      <c r="C15" s="4">
        <v>2148</v>
      </c>
      <c r="D15" s="6">
        <v>1248</v>
      </c>
      <c r="E15" s="1">
        <f t="shared" ref="E15" si="24" xml:space="preserve"> C15/C$2</f>
        <v>0.83906250000000004</v>
      </c>
      <c r="F15" s="1">
        <f t="shared" ref="F15" si="25" xml:space="preserve"> D15/D$2</f>
        <v>0.8666666666666667</v>
      </c>
      <c r="G15" s="4">
        <f t="shared" ref="G15" si="26">IF(ISBLANK(C15),0,(C15*G$2/C$2))</f>
        <v>3222</v>
      </c>
      <c r="H15" s="6">
        <f t="shared" ref="H15" si="27">IF(ISBLANK(D15),0,(D15*H$2/D$2))</f>
        <v>1872</v>
      </c>
      <c r="J15" s="4">
        <f t="shared" ref="J15" si="28">IF(ISBLANK(C15),0,(C15*J$2/C$2))</f>
        <v>1611</v>
      </c>
      <c r="K15" s="6">
        <f t="shared" ref="K15" si="29">IF(ISBLANK(D15),0,(D15*K$2/D$2))</f>
        <v>936</v>
      </c>
      <c r="M15" s="4">
        <f t="shared" ref="M15" si="30">IF(ISBLANK(C15),0,(C15*M$2/C$2))</f>
        <v>1074</v>
      </c>
      <c r="N15" s="6">
        <f t="shared" ref="N15" si="31">IF(ISBLANK(D15),0,(D15*N$2/D$2))</f>
        <v>624</v>
      </c>
    </row>
    <row r="16" spans="1:15">
      <c r="G16" s="4"/>
      <c r="H16" s="6"/>
    </row>
    <row r="17" spans="1:14">
      <c r="A17" t="s">
        <v>37</v>
      </c>
      <c r="C17" s="4">
        <v>1444</v>
      </c>
      <c r="D17" s="6">
        <v>1192</v>
      </c>
      <c r="E17" s="1">
        <f t="shared" ref="E17" si="32" xml:space="preserve"> C17/C$2</f>
        <v>0.56406250000000002</v>
      </c>
      <c r="F17" s="1">
        <f t="shared" ref="F17" si="33" xml:space="preserve"> D17/D$2</f>
        <v>0.82777777777777772</v>
      </c>
      <c r="G17" s="4">
        <f t="shared" ref="G17" si="34">IF(ISBLANK(C17),0,(C17*G$2/C$2))</f>
        <v>2166</v>
      </c>
      <c r="H17" s="6">
        <f t="shared" ref="H17" si="35">IF(ISBLANK(D17),0,(D17*H$2/D$2))</f>
        <v>1788</v>
      </c>
      <c r="J17" s="4">
        <f t="shared" ref="J17" si="36">IF(ISBLANK(C17),0,(C17*J$2/C$2))</f>
        <v>1083</v>
      </c>
      <c r="K17" s="6">
        <f t="shared" ref="K17" si="37">IF(ISBLANK(D17),0,(D17*K$2/D$2))</f>
        <v>894</v>
      </c>
      <c r="M17" s="4">
        <f t="shared" ref="M17" si="38">IF(ISBLANK(C17),0,(C17*M$2/C$2))</f>
        <v>722</v>
      </c>
      <c r="N17" s="6">
        <f t="shared" ref="N17" si="39">IF(ISBLANK(D17),0,(D17*N$2/D$2))</f>
        <v>596</v>
      </c>
    </row>
    <row r="18" spans="1:14">
      <c r="G18" s="4"/>
      <c r="H18" s="6"/>
    </row>
    <row r="19" spans="1:14">
      <c r="A19" t="s">
        <v>38</v>
      </c>
      <c r="C19" s="4">
        <v>824</v>
      </c>
      <c r="D19" s="6">
        <v>892</v>
      </c>
      <c r="E19" s="1">
        <f t="shared" ref="E19" si="40" xml:space="preserve"> C19/C$2</f>
        <v>0.32187500000000002</v>
      </c>
      <c r="F19" s="1">
        <f t="shared" ref="F19" si="41" xml:space="preserve"> D19/D$2</f>
        <v>0.61944444444444446</v>
      </c>
      <c r="G19" s="4">
        <f t="shared" ref="G19" si="42">IF(ISBLANK(C19),0,(C19*G$2/C$2))</f>
        <v>1236</v>
      </c>
      <c r="H19" s="6">
        <f t="shared" ref="H19" si="43">IF(ISBLANK(D19),0,(D19*H$2/D$2))</f>
        <v>1338</v>
      </c>
      <c r="J19" s="4">
        <f t="shared" ref="J19" si="44">IF(ISBLANK(C19),0,(C19*J$2/C$2))</f>
        <v>618</v>
      </c>
      <c r="K19" s="6">
        <f t="shared" ref="K19" si="45">IF(ISBLANK(D19),0,(D19*K$2/D$2))</f>
        <v>669</v>
      </c>
      <c r="M19" s="4">
        <f t="shared" ref="M19" si="46">IF(ISBLANK(C19),0,(C19*M$2/C$2))</f>
        <v>412</v>
      </c>
      <c r="N19" s="6">
        <f t="shared" ref="N19" si="47">IF(ISBLANK(D19),0,(D19*N$2/D$2))</f>
        <v>446</v>
      </c>
    </row>
    <row r="20" spans="1:14">
      <c r="G20" s="4"/>
      <c r="H20" s="6"/>
    </row>
    <row r="21" spans="1:14">
      <c r="A21" t="s">
        <v>39</v>
      </c>
      <c r="C21" s="4">
        <v>1914</v>
      </c>
      <c r="D21" s="6">
        <v>974</v>
      </c>
      <c r="E21" s="1">
        <f t="shared" ref="E21" si="48" xml:space="preserve"> C21/C$2</f>
        <v>0.74765625000000002</v>
      </c>
      <c r="F21" s="1">
        <f t="shared" ref="F21" si="49" xml:space="preserve"> D21/D$2</f>
        <v>0.67638888888888893</v>
      </c>
      <c r="G21" s="4">
        <f t="shared" ref="G21" si="50">IF(ISBLANK(C21),0,(C21*G$2/C$2))</f>
        <v>2871</v>
      </c>
      <c r="H21" s="6">
        <f t="shared" ref="H21" si="51">IF(ISBLANK(D21),0,(D21*H$2/D$2))</f>
        <v>1461</v>
      </c>
      <c r="J21" s="4">
        <f t="shared" ref="J21" si="52">IF(ISBLANK(C21),0,(C21*J$2/C$2))</f>
        <v>1435.5</v>
      </c>
      <c r="K21" s="6">
        <f t="shared" ref="K21" si="53">IF(ISBLANK(D21),0,(D21*K$2/D$2))</f>
        <v>730.5</v>
      </c>
      <c r="M21" s="4">
        <f t="shared" ref="M21" si="54">IF(ISBLANK(C21),0,(C21*M$2/C$2))</f>
        <v>957</v>
      </c>
      <c r="N21" s="6">
        <f t="shared" ref="N21" si="55">IF(ISBLANK(D21),0,(D21*N$2/D$2))</f>
        <v>487</v>
      </c>
    </row>
    <row r="22" spans="1:14">
      <c r="G22" s="4"/>
      <c r="H22" s="6"/>
    </row>
    <row r="23" spans="1:14">
      <c r="A23" t="s">
        <v>40</v>
      </c>
      <c r="C23" s="4">
        <v>2038</v>
      </c>
      <c r="D23" s="6">
        <v>1194</v>
      </c>
      <c r="E23" s="1">
        <f t="shared" ref="E23" si="56" xml:space="preserve"> C23/C$2</f>
        <v>0.79609375000000004</v>
      </c>
      <c r="F23" s="1">
        <f t="shared" ref="F23" si="57" xml:space="preserve"> D23/D$2</f>
        <v>0.82916666666666672</v>
      </c>
      <c r="G23" s="4">
        <f t="shared" ref="G23" si="58">IF(ISBLANK(C23),0,(C23*G$2/C$2))</f>
        <v>3057</v>
      </c>
      <c r="H23" s="6">
        <f t="shared" ref="H23" si="59">IF(ISBLANK(D23),0,(D23*H$2/D$2))</f>
        <v>1791</v>
      </c>
      <c r="J23" s="4">
        <f t="shared" ref="J23" si="60">IF(ISBLANK(C23),0,(C23*J$2/C$2))</f>
        <v>1528.5</v>
      </c>
      <c r="K23" s="6">
        <f t="shared" ref="K23" si="61">IF(ISBLANK(D23),0,(D23*K$2/D$2))</f>
        <v>895.5</v>
      </c>
      <c r="M23" s="4">
        <f t="shared" ref="M23" si="62">IF(ISBLANK(C23),0,(C23*M$2/C$2))</f>
        <v>1019</v>
      </c>
      <c r="N23" s="6">
        <f t="shared" ref="N23" si="63">IF(ISBLANK(D23),0,(D23*N$2/D$2))</f>
        <v>597</v>
      </c>
    </row>
    <row r="24" spans="1:14">
      <c r="G24" s="4"/>
      <c r="H24" s="6"/>
    </row>
    <row r="25" spans="1:14">
      <c r="E25" s="1">
        <f t="shared" ref="E25" si="64" xml:space="preserve"> C25/C$2</f>
        <v>0</v>
      </c>
      <c r="F25" s="1">
        <f t="shared" ref="F25" si="65" xml:space="preserve"> D25/D$2</f>
        <v>0</v>
      </c>
      <c r="G25" s="4">
        <f t="shared" ref="G25" si="66">IF(ISBLANK(C25),0,(C25*G$2/C$2))</f>
        <v>0</v>
      </c>
      <c r="H25" s="6">
        <f t="shared" ref="H25" si="67">IF(ISBLANK(D25),0,(D25*H$2/D$2))</f>
        <v>0</v>
      </c>
      <c r="J25" s="4">
        <f t="shared" ref="J25" si="68">IF(ISBLANK(C25),0,(C25*J$2/C$2))</f>
        <v>0</v>
      </c>
      <c r="K25" s="6">
        <f t="shared" ref="K25" si="69">IF(ISBLANK(D25),0,(D25*K$2/D$2))</f>
        <v>0</v>
      </c>
      <c r="M25" s="4">
        <f t="shared" ref="M25" si="70">IF(ISBLANK(C25),0,(C25*M$2/C$2))</f>
        <v>0</v>
      </c>
      <c r="N25" s="6">
        <f t="shared" ref="N25" si="71">IF(ISBLANK(D25),0,(D25*N$2/D$2))</f>
        <v>0</v>
      </c>
    </row>
    <row r="26" spans="1:14">
      <c r="G26" s="4"/>
      <c r="H26" s="6"/>
    </row>
    <row r="27" spans="1:14" s="11" customFormat="1">
      <c r="A27" s="11" t="s">
        <v>41</v>
      </c>
      <c r="C27" s="12"/>
      <c r="E27" s="13"/>
      <c r="F27" s="13"/>
      <c r="G27" s="12"/>
      <c r="I27" s="13"/>
      <c r="J27" s="12"/>
      <c r="M27" s="12"/>
    </row>
    <row r="28" spans="1:14">
      <c r="G28" s="4"/>
      <c r="H28" s="6"/>
    </row>
    <row r="29" spans="1:14">
      <c r="A29" t="s">
        <v>9</v>
      </c>
      <c r="C29" s="4">
        <v>572</v>
      </c>
      <c r="D29" s="6">
        <v>1440</v>
      </c>
      <c r="E29" s="1">
        <f t="shared" ref="E29" si="72" xml:space="preserve"> C29/C$2</f>
        <v>0.22343750000000001</v>
      </c>
      <c r="F29" s="1">
        <f t="shared" ref="F29" si="73" xml:space="preserve"> D29/D$2</f>
        <v>1</v>
      </c>
      <c r="G29" s="4">
        <f t="shared" ref="G29" si="74">IF(ISBLANK(C29),0,(C29*G$2/C$2))</f>
        <v>858</v>
      </c>
      <c r="H29" s="6">
        <f t="shared" ref="H29" si="75">IF(ISBLANK(D29),0,(D29*H$2/D$2))</f>
        <v>2160</v>
      </c>
      <c r="J29" s="4">
        <f t="shared" ref="J29" si="76">IF(ISBLANK(C29),0,(C29*J$2/C$2))</f>
        <v>429</v>
      </c>
      <c r="K29" s="6">
        <f t="shared" ref="K29" si="77">IF(ISBLANK(D29),0,(D29*K$2/D$2))</f>
        <v>1080</v>
      </c>
      <c r="M29" s="4">
        <f t="shared" ref="M29" si="78">IF(ISBLANK(C29),0,(C29*M$2/C$2))</f>
        <v>286</v>
      </c>
      <c r="N29" s="6">
        <f t="shared" ref="N29" si="79">IF(ISBLANK(D29),0,(D29*N$2/D$2))</f>
        <v>720</v>
      </c>
    </row>
    <row r="30" spans="1:14">
      <c r="G30" s="4"/>
      <c r="H30" s="6"/>
    </row>
    <row r="31" spans="1:14">
      <c r="A31" t="s">
        <v>42</v>
      </c>
      <c r="C31" s="4">
        <v>220</v>
      </c>
      <c r="D31" s="6">
        <v>292</v>
      </c>
      <c r="E31" s="1">
        <f t="shared" ref="E31" si="80" xml:space="preserve"> C31/C$2</f>
        <v>8.59375E-2</v>
      </c>
      <c r="F31" s="1">
        <f t="shared" ref="F31" si="81" xml:space="preserve"> D31/D$2</f>
        <v>0.20277777777777778</v>
      </c>
      <c r="G31" s="4">
        <f t="shared" ref="G31" si="82">IF(ISBLANK(C31),0,(C31*G$2/C$2))</f>
        <v>330</v>
      </c>
      <c r="H31" s="6">
        <f t="shared" ref="H31" si="83">IF(ISBLANK(D31),0,(D31*H$2/D$2))</f>
        <v>438</v>
      </c>
      <c r="J31" s="4">
        <f t="shared" ref="J31" si="84">IF(ISBLANK(C31),0,(C31*J$2/C$2))</f>
        <v>165</v>
      </c>
      <c r="K31" s="6">
        <f t="shared" ref="K31" si="85">IF(ISBLANK(D31),0,(D31*K$2/D$2))</f>
        <v>219</v>
      </c>
      <c r="M31" s="4">
        <f t="shared" ref="M31" si="86">IF(ISBLANK(C31),0,(C31*M$2/C$2))</f>
        <v>110</v>
      </c>
      <c r="N31" s="6">
        <f t="shared" ref="N31" si="87">IF(ISBLANK(D31),0,(D31*N$2/D$2))</f>
        <v>146</v>
      </c>
    </row>
    <row r="32" spans="1:14">
      <c r="G32" s="4"/>
      <c r="H32" s="6"/>
    </row>
    <row r="33" spans="1:14">
      <c r="A33" t="s">
        <v>43</v>
      </c>
      <c r="C33" s="4">
        <v>140</v>
      </c>
      <c r="D33" s="6">
        <v>200</v>
      </c>
      <c r="E33" s="1">
        <f t="shared" ref="E33" si="88" xml:space="preserve"> C33/C$2</f>
        <v>5.46875E-2</v>
      </c>
      <c r="F33" s="1">
        <f t="shared" ref="F33" si="89" xml:space="preserve"> D33/D$2</f>
        <v>0.1388888888888889</v>
      </c>
      <c r="G33" s="4">
        <f t="shared" ref="G33" si="90">IF(ISBLANK(C33),0,(C33*G$2/C$2))</f>
        <v>210</v>
      </c>
      <c r="H33" s="6">
        <f t="shared" ref="H33" si="91">IF(ISBLANK(D33),0,(D33*H$2/D$2))</f>
        <v>300</v>
      </c>
      <c r="J33" s="4">
        <f t="shared" ref="J33" si="92">IF(ISBLANK(C33),0,(C33*J$2/C$2))</f>
        <v>105</v>
      </c>
      <c r="K33" s="6">
        <f t="shared" ref="K33" si="93">IF(ISBLANK(D33),0,(D33*K$2/D$2))</f>
        <v>150</v>
      </c>
      <c r="M33" s="4">
        <f t="shared" ref="M33" si="94">IF(ISBLANK(C33),0,(C33*M$2/C$2))</f>
        <v>70</v>
      </c>
      <c r="N33" s="6">
        <f t="shared" ref="N33" si="95">IF(ISBLANK(D33),0,(D33*N$2/D$2))</f>
        <v>100</v>
      </c>
    </row>
    <row r="34" spans="1:14">
      <c r="G34" s="4"/>
      <c r="H34" s="6"/>
    </row>
    <row r="35" spans="1:14">
      <c r="E35" s="1">
        <f t="shared" ref="E35" si="96" xml:space="preserve"> C35/C$2</f>
        <v>0</v>
      </c>
      <c r="F35" s="1">
        <f t="shared" ref="F35" si="97" xml:space="preserve"> D35/D$2</f>
        <v>0</v>
      </c>
      <c r="G35" s="4">
        <f t="shared" ref="G35" si="98">IF(ISBLANK(C35),0,(C35*G$2/C$2))</f>
        <v>0</v>
      </c>
      <c r="H35" s="6">
        <f t="shared" ref="H35" si="99">IF(ISBLANK(D35),0,(D35*H$2/D$2))</f>
        <v>0</v>
      </c>
      <c r="J35" s="4">
        <f t="shared" ref="J35" si="100">IF(ISBLANK(C35),0,(C35*J$2/C$2))</f>
        <v>0</v>
      </c>
      <c r="K35" s="6">
        <f t="shared" ref="K35" si="101">IF(ISBLANK(D35),0,(D35*K$2/D$2))</f>
        <v>0</v>
      </c>
      <c r="M35" s="4">
        <f t="shared" ref="M35" si="102">IF(ISBLANK(C35),0,(C35*M$2/C$2))</f>
        <v>0</v>
      </c>
      <c r="N35" s="6">
        <f t="shared" ref="N35" si="103">IF(ISBLANK(D35),0,(D35*N$2/D$2))</f>
        <v>0</v>
      </c>
    </row>
    <row r="36" spans="1:14">
      <c r="G36" s="4"/>
      <c r="H36" s="6"/>
    </row>
    <row r="37" spans="1:14">
      <c r="E37" s="1">
        <f t="shared" ref="E37" si="104" xml:space="preserve"> C37/C$2</f>
        <v>0</v>
      </c>
      <c r="F37" s="1">
        <f t="shared" ref="F37" si="105" xml:space="preserve"> D37/D$2</f>
        <v>0</v>
      </c>
      <c r="G37" s="4">
        <f t="shared" ref="G37" si="106">IF(ISBLANK(C37),0,(C37*G$2/C$2))</f>
        <v>0</v>
      </c>
      <c r="H37" s="6">
        <f t="shared" ref="H37" si="107">IF(ISBLANK(D37),0,(D37*H$2/D$2))</f>
        <v>0</v>
      </c>
      <c r="J37" s="4">
        <f t="shared" ref="J37" si="108">IF(ISBLANK(C37),0,(C37*J$2/C$2))</f>
        <v>0</v>
      </c>
      <c r="K37" s="6">
        <f t="shared" ref="K37" si="109">IF(ISBLANK(D37),0,(D37*K$2/D$2))</f>
        <v>0</v>
      </c>
      <c r="M37" s="4">
        <f t="shared" ref="M37" si="110">IF(ISBLANK(C37),0,(C37*M$2/C$2))</f>
        <v>0</v>
      </c>
      <c r="N37" s="6">
        <f t="shared" ref="N37" si="111">IF(ISBLANK(D37),0,(D37*N$2/D$2))</f>
        <v>0</v>
      </c>
    </row>
    <row r="38" spans="1:14">
      <c r="C38"/>
      <c r="D38"/>
      <c r="E38"/>
      <c r="F38"/>
      <c r="G38"/>
      <c r="H38"/>
      <c r="I38"/>
      <c r="J38"/>
      <c r="K38"/>
      <c r="M38"/>
      <c r="N38"/>
    </row>
    <row r="39" spans="1:14">
      <c r="C39"/>
      <c r="D39"/>
      <c r="E39"/>
      <c r="F39"/>
      <c r="G39"/>
      <c r="H39"/>
      <c r="I39"/>
      <c r="J39"/>
      <c r="K39"/>
      <c r="M39"/>
      <c r="N39"/>
    </row>
    <row r="40" spans="1:14">
      <c r="C40"/>
      <c r="D40"/>
      <c r="E40"/>
      <c r="F40"/>
      <c r="G40"/>
      <c r="H40"/>
      <c r="I40"/>
      <c r="J40"/>
      <c r="K40"/>
      <c r="M40"/>
      <c r="N40"/>
    </row>
    <row r="41" spans="1:14">
      <c r="C41"/>
      <c r="D41"/>
      <c r="E41"/>
      <c r="F41"/>
      <c r="G41"/>
      <c r="H41"/>
      <c r="I41"/>
      <c r="J41"/>
      <c r="K41"/>
      <c r="M41"/>
      <c r="N41"/>
    </row>
    <row r="42" spans="1:14">
      <c r="C42"/>
      <c r="D42"/>
      <c r="E42"/>
      <c r="F42"/>
      <c r="G42"/>
      <c r="H42"/>
      <c r="I42"/>
      <c r="J42"/>
      <c r="K42"/>
      <c r="M42"/>
      <c r="N42"/>
    </row>
    <row r="43" spans="1:14">
      <c r="A43" t="s">
        <v>9</v>
      </c>
      <c r="C43" s="4">
        <v>572</v>
      </c>
      <c r="D43" s="6">
        <v>1440</v>
      </c>
      <c r="E43" s="1">
        <f t="shared" si="0"/>
        <v>0.22343750000000001</v>
      </c>
      <c r="F43" s="1">
        <f t="shared" si="1"/>
        <v>1</v>
      </c>
      <c r="G43" s="4">
        <f t="shared" si="2"/>
        <v>858</v>
      </c>
      <c r="H43" s="6">
        <f t="shared" si="3"/>
        <v>2160</v>
      </c>
      <c r="J43" s="4">
        <f t="shared" si="4"/>
        <v>429</v>
      </c>
      <c r="K43" s="6">
        <f t="shared" si="5"/>
        <v>1080</v>
      </c>
      <c r="M43" s="4">
        <f t="shared" si="6"/>
        <v>286</v>
      </c>
      <c r="N43" s="6">
        <f t="shared" si="7"/>
        <v>720</v>
      </c>
    </row>
    <row r="44" spans="1:14">
      <c r="E44" s="1">
        <f xml:space="preserve"> C44/C$2</f>
        <v>0</v>
      </c>
      <c r="F44" s="1">
        <f xml:space="preserve"> D44/D$2</f>
        <v>0</v>
      </c>
      <c r="G44" s="4">
        <f>IF(ISBLANK(C44),0,(C44*G$2/C$2))</f>
        <v>0</v>
      </c>
      <c r="H44" s="6">
        <f>IF(ISBLANK(D44),0,(D44*H$2/D$2))</f>
        <v>0</v>
      </c>
      <c r="J44" s="4">
        <f>IF(ISBLANK(C44),0,(C44*J$2/C$2))</f>
        <v>0</v>
      </c>
      <c r="K44" s="6">
        <f>IF(ISBLANK(D44),0,(D44*K$2/D$2))</f>
        <v>0</v>
      </c>
      <c r="M44" s="4">
        <f>IF(ISBLANK(C44),0,(C44*M$2/C$2))</f>
        <v>0</v>
      </c>
      <c r="N44" s="6">
        <f>IF(ISBLANK(D44),0,(D44*N$2/D$2))</f>
        <v>0</v>
      </c>
    </row>
    <row r="45" spans="1:14">
      <c r="A45" t="s">
        <v>1</v>
      </c>
      <c r="C45" s="4">
        <v>1660</v>
      </c>
      <c r="D45" s="6">
        <v>300</v>
      </c>
      <c r="E45" s="1">
        <f xml:space="preserve"> C45/C$2</f>
        <v>0.6484375</v>
      </c>
      <c r="F45" s="1">
        <f xml:space="preserve"> D45/D$2</f>
        <v>0.20833333333333334</v>
      </c>
      <c r="G45" s="4">
        <f>IF(ISBLANK(C45),0,(C45*G$2/C$2))</f>
        <v>2490</v>
      </c>
      <c r="H45" s="6">
        <f>IF(ISBLANK(D45),0,(D45*H$2/D$2))</f>
        <v>450</v>
      </c>
      <c r="J45" s="4">
        <f>IF(ISBLANK(C45),0,(C45*J$2/C$2))</f>
        <v>1245</v>
      </c>
      <c r="K45" s="6">
        <f>IF(ISBLANK(D45),0,(D45*K$2/D$2))</f>
        <v>225</v>
      </c>
      <c r="M45" s="4">
        <f>IF(ISBLANK(C45),0,(C45*M$2/C$2))</f>
        <v>830</v>
      </c>
      <c r="N45" s="6">
        <f>IF(ISBLANK(D45),0,(D45*N$2/D$2))</f>
        <v>150</v>
      </c>
    </row>
    <row r="46" spans="1:14">
      <c r="E46" s="1">
        <f xml:space="preserve"> C46/C$2</f>
        <v>0</v>
      </c>
      <c r="F46" s="1">
        <f xml:space="preserve"> D46/D$2</f>
        <v>0</v>
      </c>
      <c r="G46" s="4">
        <f>IF(ISBLANK(C46),0,(C46*G$2/C$2))</f>
        <v>0</v>
      </c>
      <c r="H46" s="6">
        <f>IF(ISBLANK(D46),0,(D46*H$2/D$2))</f>
        <v>0</v>
      </c>
      <c r="J46" s="4">
        <f>IF(ISBLANK(C46),0,(C46*J$2/C$2))</f>
        <v>0</v>
      </c>
      <c r="K46" s="6">
        <f>IF(ISBLANK(D46),0,(D46*K$2/D$2))</f>
        <v>0</v>
      </c>
      <c r="M46" s="4">
        <f>IF(ISBLANK(C46),0,(C46*M$2/C$2))</f>
        <v>0</v>
      </c>
      <c r="N46" s="6">
        <f>IF(ISBLANK(D46),0,(D46*N$2/D$2))</f>
        <v>0</v>
      </c>
    </row>
    <row r="47" spans="1:14">
      <c r="A47" t="s">
        <v>2</v>
      </c>
      <c r="C47" s="4">
        <v>1372</v>
      </c>
      <c r="D47" s="6">
        <v>588</v>
      </c>
      <c r="E47" s="1">
        <f xml:space="preserve"> C47/C$2</f>
        <v>0.53593749999999996</v>
      </c>
      <c r="F47" s="1">
        <f xml:space="preserve"> D47/D$2</f>
        <v>0.40833333333333333</v>
      </c>
      <c r="G47" s="4">
        <f>IF(ISBLANK(C47),0,(C47*G$2/C$2))</f>
        <v>2058</v>
      </c>
      <c r="H47" s="6">
        <f>IF(ISBLANK(D47),0,(D47*H$2/D$2))</f>
        <v>882</v>
      </c>
      <c r="J47" s="4">
        <f>IF(ISBLANK(C47),0,(C47*J$2/C$2))</f>
        <v>1029</v>
      </c>
      <c r="K47" s="6">
        <f>IF(ISBLANK(D47),0,(D47*K$2/D$2))</f>
        <v>441</v>
      </c>
      <c r="M47" s="4">
        <f>IF(ISBLANK(C47),0,(C47*M$2/C$2))</f>
        <v>686</v>
      </c>
      <c r="N47" s="6">
        <f>IF(ISBLANK(D47),0,(D47*N$2/D$2))</f>
        <v>294</v>
      </c>
    </row>
    <row r="48" spans="1:14">
      <c r="E48" s="1">
        <f xml:space="preserve"> C48/C$2</f>
        <v>0</v>
      </c>
      <c r="F48" s="1">
        <f xml:space="preserve"> D48/D$2</f>
        <v>0</v>
      </c>
      <c r="G48" s="4">
        <f>IF(ISBLANK(C48),0,(C48*G$2/C$2))</f>
        <v>0</v>
      </c>
      <c r="H48" s="6">
        <f>IF(ISBLANK(D48),0,(D48*H$2/D$2))</f>
        <v>0</v>
      </c>
      <c r="J48" s="4">
        <f>IF(ISBLANK(C48),0,(C48*J$2/C$2))</f>
        <v>0</v>
      </c>
      <c r="K48" s="6">
        <f>IF(ISBLANK(D48),0,(D48*K$2/D$2))</f>
        <v>0</v>
      </c>
      <c r="M48" s="4">
        <f>IF(ISBLANK(C48),0,(C48*M$2/C$2))</f>
        <v>0</v>
      </c>
      <c r="N48" s="6">
        <f>IF(ISBLANK(D48),0,(D48*N$2/D$2))</f>
        <v>0</v>
      </c>
    </row>
    <row r="49" spans="1:14">
      <c r="A49" t="s">
        <v>0</v>
      </c>
      <c r="C49" s="4">
        <v>280</v>
      </c>
      <c r="D49" s="6">
        <v>156</v>
      </c>
      <c r="E49" s="1">
        <f xml:space="preserve"> C49/C$2</f>
        <v>0.109375</v>
      </c>
      <c r="F49" s="1">
        <f xml:space="preserve"> D49/D$2</f>
        <v>0.10833333333333334</v>
      </c>
      <c r="G49" s="4">
        <f>IF(ISBLANK(C49),0,(C49*G$2/C$2))</f>
        <v>420</v>
      </c>
      <c r="H49" s="6">
        <f>IF(ISBLANK(D49),0,(D49*H$2/D$2))</f>
        <v>234</v>
      </c>
      <c r="J49" s="4">
        <f>IF(ISBLANK(C49),0,(C49*J$2/C$2))</f>
        <v>210</v>
      </c>
      <c r="K49" s="6">
        <f>IF(ISBLANK(D49),0,(D49*K$2/D$2))</f>
        <v>117</v>
      </c>
      <c r="M49" s="4">
        <f>IF(ISBLANK(C49),0,(C49*M$2/C$2))</f>
        <v>140</v>
      </c>
      <c r="N49" s="6">
        <f>IF(ISBLANK(D49),0,(D49*N$2/D$2))</f>
        <v>78</v>
      </c>
    </row>
    <row r="50" spans="1:14">
      <c r="E50" s="1">
        <f xml:space="preserve"> C50/C$2</f>
        <v>0</v>
      </c>
      <c r="F50" s="1">
        <f xml:space="preserve"> D50/D$2</f>
        <v>0</v>
      </c>
      <c r="G50" s="4">
        <f>IF(ISBLANK(C50),0,(C50*G$2/C$2))</f>
        <v>0</v>
      </c>
      <c r="H50" s="6">
        <f>IF(ISBLANK(D50),0,(D50*H$2/D$2))</f>
        <v>0</v>
      </c>
      <c r="J50" s="4">
        <f>IF(ISBLANK(C50),0,(C50*J$2/C$2))</f>
        <v>0</v>
      </c>
      <c r="K50" s="6">
        <f>IF(ISBLANK(D50),0,(D50*K$2/D$2))</f>
        <v>0</v>
      </c>
      <c r="M50" s="4">
        <f>IF(ISBLANK(C50),0,(C50*M$2/C$2))</f>
        <v>0</v>
      </c>
      <c r="N50" s="6">
        <f>IF(ISBLANK(D50),0,(D50*N$2/D$2))</f>
        <v>0</v>
      </c>
    </row>
    <row r="51" spans="1:14">
      <c r="A51" t="s">
        <v>3</v>
      </c>
      <c r="C51" s="4">
        <v>264</v>
      </c>
      <c r="D51" s="6">
        <v>172</v>
      </c>
      <c r="E51" s="1">
        <f xml:space="preserve"> C51/C$2</f>
        <v>0.10312499999999999</v>
      </c>
      <c r="F51" s="1">
        <f xml:space="preserve"> D51/D$2</f>
        <v>0.11944444444444445</v>
      </c>
      <c r="G51" s="4">
        <f>IF(ISBLANK(C51),0,(C51*G$2/C$2))</f>
        <v>396</v>
      </c>
      <c r="H51" s="6">
        <f>IF(ISBLANK(D51),0,(D51*H$2/D$2))</f>
        <v>258</v>
      </c>
      <c r="J51" s="4">
        <f>IF(ISBLANK(C51),0,(C51*J$2/C$2))</f>
        <v>198</v>
      </c>
      <c r="K51" s="6">
        <f>IF(ISBLANK(D51),0,(D51*K$2/D$2))</f>
        <v>129</v>
      </c>
      <c r="M51" s="4">
        <f>IF(ISBLANK(C51),0,(C51*M$2/C$2))</f>
        <v>132</v>
      </c>
      <c r="N51" s="6">
        <f>IF(ISBLANK(D51),0,(D51*N$2/D$2))</f>
        <v>86</v>
      </c>
    </row>
    <row r="52" spans="1:14">
      <c r="G52" s="4"/>
      <c r="H52" s="6"/>
    </row>
    <row r="53" spans="1:14">
      <c r="A53" t="s">
        <v>4</v>
      </c>
      <c r="C53" s="4">
        <v>1200</v>
      </c>
      <c r="D53" s="6">
        <v>944</v>
      </c>
      <c r="E53" s="1">
        <f xml:space="preserve"> C53/C$2</f>
        <v>0.46875</v>
      </c>
      <c r="F53" s="1">
        <f xml:space="preserve"> D53/D$2</f>
        <v>0.65555555555555556</v>
      </c>
      <c r="G53" s="4">
        <f>IF(ISBLANK(C53),0,(C53*G$2/C$2))</f>
        <v>1800</v>
      </c>
      <c r="H53" s="6">
        <f>IF(ISBLANK(D53),0,(D53*H$2/D$2))</f>
        <v>1416</v>
      </c>
      <c r="J53" s="4">
        <f>IF(ISBLANK(C53),0,(C53*J$2/C$2))</f>
        <v>900</v>
      </c>
      <c r="K53" s="6">
        <f>IF(ISBLANK(D53),0,(D53*K$2/D$2))</f>
        <v>708</v>
      </c>
      <c r="M53" s="4">
        <f>IF(ISBLANK(C53),0,(C53*M$2/C$2))</f>
        <v>600</v>
      </c>
      <c r="N53" s="6">
        <f>IF(ISBLANK(D53),0,(D53*N$2/D$2))</f>
        <v>472</v>
      </c>
    </row>
    <row r="54" spans="1:14">
      <c r="E54" s="1">
        <f xml:space="preserve"> C54/C$2</f>
        <v>0</v>
      </c>
      <c r="F54" s="1">
        <f xml:space="preserve"> D54/D$2</f>
        <v>0</v>
      </c>
      <c r="G54" s="4">
        <f>IF(ISBLANK(C54),0,(C54*G$2/C$2))</f>
        <v>0</v>
      </c>
      <c r="H54" s="6">
        <f>IF(ISBLANK(D54),0,(D54*H$2/D$2))</f>
        <v>0</v>
      </c>
      <c r="J54" s="4">
        <f>IF(ISBLANK(C54),0,(C54*J$2/C$2))</f>
        <v>0</v>
      </c>
      <c r="K54" s="6">
        <f>IF(ISBLANK(D54),0,(D54*K$2/D$2))</f>
        <v>0</v>
      </c>
      <c r="M54" s="4">
        <f>IF(ISBLANK(C54),0,(C54*M$2/C$2))</f>
        <v>0</v>
      </c>
      <c r="N54" s="6">
        <f>IF(ISBLANK(D54),0,(D54*N$2/D$2))</f>
        <v>0</v>
      </c>
    </row>
    <row r="55" spans="1:14">
      <c r="A55" t="s">
        <v>6</v>
      </c>
      <c r="C55" s="4">
        <v>420</v>
      </c>
      <c r="D55" s="6">
        <v>1032</v>
      </c>
      <c r="E55" s="1">
        <f xml:space="preserve"> C55/C$2</f>
        <v>0.1640625</v>
      </c>
      <c r="F55" s="1">
        <f xml:space="preserve"> D55/D$2</f>
        <v>0.71666666666666667</v>
      </c>
      <c r="G55" s="4">
        <f>IF(ISBLANK(C55),0,(C55*G$2/C$2))</f>
        <v>630</v>
      </c>
      <c r="H55" s="6">
        <f>IF(ISBLANK(D55),0,(D55*H$2/D$2))</f>
        <v>1548</v>
      </c>
      <c r="J55" s="4">
        <f>IF(ISBLANK(C55),0,(C55*J$2/C$2))</f>
        <v>315</v>
      </c>
      <c r="K55" s="6">
        <f>IF(ISBLANK(D55),0,(D55*K$2/D$2))</f>
        <v>774</v>
      </c>
      <c r="M55" s="4">
        <f>IF(ISBLANK(C55),0,(C55*M$2/C$2))</f>
        <v>210</v>
      </c>
      <c r="N55" s="6">
        <f>IF(ISBLANK(D55),0,(D55*N$2/D$2))</f>
        <v>516</v>
      </c>
    </row>
    <row r="56" spans="1:14">
      <c r="E56" s="1">
        <f xml:space="preserve"> C56/C$2</f>
        <v>0</v>
      </c>
      <c r="F56" s="1">
        <f xml:space="preserve"> D56/D$2</f>
        <v>0</v>
      </c>
      <c r="G56" s="4">
        <f>IF(ISBLANK(C56),0,(C56*G$2/C$2))</f>
        <v>0</v>
      </c>
      <c r="H56" s="6">
        <f>IF(ISBLANK(D56),0,(D56*H$2/D$2))</f>
        <v>0</v>
      </c>
      <c r="J56" s="4">
        <f>IF(ISBLANK(C56),0,(C56*J$2/C$2))</f>
        <v>0</v>
      </c>
      <c r="K56" s="6">
        <f>IF(ISBLANK(D56),0,(D56*K$2/D$2))</f>
        <v>0</v>
      </c>
      <c r="M56" s="4">
        <f>IF(ISBLANK(C56),0,(C56*M$2/C$2))</f>
        <v>0</v>
      </c>
      <c r="N56" s="6">
        <f>IF(ISBLANK(D56),0,(D56*N$2/D$2))</f>
        <v>0</v>
      </c>
    </row>
    <row r="57" spans="1:14">
      <c r="A57" t="s">
        <v>7</v>
      </c>
      <c r="C57" s="4">
        <v>1360</v>
      </c>
      <c r="D57" s="6">
        <v>952</v>
      </c>
      <c r="E57" s="1">
        <f xml:space="preserve"> C57/C$2</f>
        <v>0.53125</v>
      </c>
      <c r="F57" s="1">
        <f xml:space="preserve"> D57/D$2</f>
        <v>0.66111111111111109</v>
      </c>
      <c r="G57" s="4">
        <f>IF(ISBLANK(C57),0,(C57*G$2/C$2))</f>
        <v>2040</v>
      </c>
      <c r="H57" s="6">
        <f>IF(ISBLANK(D57),0,(D57*H$2/D$2))</f>
        <v>1428</v>
      </c>
      <c r="J57" s="4">
        <f>IF(ISBLANK(C57),0,(C57*J$2/C$2))</f>
        <v>1020</v>
      </c>
      <c r="K57" s="6">
        <f>IF(ISBLANK(D57),0,(D57*K$2/D$2))</f>
        <v>714</v>
      </c>
      <c r="M57" s="4">
        <f>IF(ISBLANK(C57),0,(C57*M$2/C$2))</f>
        <v>680</v>
      </c>
      <c r="N57" s="6">
        <f>IF(ISBLANK(D57),0,(D57*N$2/D$2))</f>
        <v>476</v>
      </c>
    </row>
    <row r="58" spans="1:14">
      <c r="E58" s="1">
        <f xml:space="preserve"> C58/C$2</f>
        <v>0</v>
      </c>
      <c r="F58" s="1">
        <f xml:space="preserve"> D58/D$2</f>
        <v>0</v>
      </c>
      <c r="G58" s="4">
        <f>IF(ISBLANK(C58),0,(C58*G$2/C$2))</f>
        <v>0</v>
      </c>
      <c r="H58" s="6">
        <f>IF(ISBLANK(D58),0,(D58*H$2/D$2))</f>
        <v>0</v>
      </c>
      <c r="J58" s="4">
        <f>IF(ISBLANK(C58),0,(C58*J$2/C$2))</f>
        <v>0</v>
      </c>
      <c r="K58" s="6">
        <f>IF(ISBLANK(D58),0,(D58*K$2/D$2))</f>
        <v>0</v>
      </c>
      <c r="M58" s="4">
        <f>IF(ISBLANK(C58),0,(C58*M$2/C$2))</f>
        <v>0</v>
      </c>
      <c r="N58" s="6">
        <f>IF(ISBLANK(D58),0,(D58*N$2/D$2))</f>
        <v>0</v>
      </c>
    </row>
    <row r="59" spans="1:14">
      <c r="A59" t="s">
        <v>8</v>
      </c>
      <c r="C59" s="4">
        <v>712</v>
      </c>
      <c r="D59" s="6">
        <v>488</v>
      </c>
      <c r="E59" s="1">
        <f xml:space="preserve"> C59/C$2</f>
        <v>0.27812500000000001</v>
      </c>
      <c r="F59" s="1">
        <f xml:space="preserve"> D59/D$2</f>
        <v>0.33888888888888891</v>
      </c>
      <c r="G59" s="4">
        <f>IF(ISBLANK(C59),0,(C59*G$2/C$2))</f>
        <v>1068</v>
      </c>
      <c r="H59" s="6">
        <f>IF(ISBLANK(D59),0,(D59*H$2/D$2))</f>
        <v>732</v>
      </c>
      <c r="J59" s="4">
        <f>IF(ISBLANK(C59),0,(C59*J$2/C$2))</f>
        <v>534</v>
      </c>
      <c r="K59" s="6">
        <f>IF(ISBLANK(D59),0,(D59*K$2/D$2))</f>
        <v>366</v>
      </c>
      <c r="M59" s="4">
        <f>IF(ISBLANK(C59),0,(C59*M$2/C$2))</f>
        <v>356</v>
      </c>
      <c r="N59" s="6">
        <f>IF(ISBLANK(D59),0,(D59*N$2/D$2))</f>
        <v>244</v>
      </c>
    </row>
    <row r="60" spans="1:14">
      <c r="E60" s="1">
        <f xml:space="preserve"> C60/C$2</f>
        <v>0</v>
      </c>
      <c r="F60" s="1">
        <f xml:space="preserve"> D60/D$2</f>
        <v>0</v>
      </c>
      <c r="G60" s="4">
        <f>IF(ISBLANK(C60),0,(C60*G$2/C$2))</f>
        <v>0</v>
      </c>
      <c r="H60" s="6">
        <f>IF(ISBLANK(D60),0,(D60*H$2/D$2))</f>
        <v>0</v>
      </c>
      <c r="J60" s="4">
        <f>IF(ISBLANK(C60),0,(C60*J$2/C$2))</f>
        <v>0</v>
      </c>
      <c r="K60" s="6">
        <f>IF(ISBLANK(D60),0,(D60*K$2/D$2))</f>
        <v>0</v>
      </c>
      <c r="M60" s="4">
        <f>IF(ISBLANK(C60),0,(C60*M$2/C$2))</f>
        <v>0</v>
      </c>
      <c r="N60" s="6">
        <f>IF(ISBLANK(D60),0,(D60*N$2/D$2))</f>
        <v>0</v>
      </c>
    </row>
    <row r="61" spans="1:14">
      <c r="A61" t="s">
        <v>10</v>
      </c>
      <c r="D61" s="6">
        <v>412</v>
      </c>
      <c r="E61" s="1">
        <f xml:space="preserve"> C61/C$2</f>
        <v>0</v>
      </c>
      <c r="F61" s="1">
        <f xml:space="preserve"> D61/D$2</f>
        <v>0.28611111111111109</v>
      </c>
      <c r="G61" s="4">
        <f>IF(ISBLANK(C61),0,(C61*G$2/C$2))</f>
        <v>0</v>
      </c>
      <c r="H61" s="6">
        <f>IF(ISBLANK(D61),0,(D61*H$2/D$2))</f>
        <v>618</v>
      </c>
      <c r="J61" s="4">
        <f>IF(ISBLANK(C61),0,(C61*J$2/C$2))</f>
        <v>0</v>
      </c>
      <c r="K61" s="6">
        <f>IF(ISBLANK(D61),0,(D61*K$2/D$2))</f>
        <v>309</v>
      </c>
      <c r="M61" s="4">
        <f>IF(ISBLANK(C61),0,(C61*M$2/C$2))</f>
        <v>0</v>
      </c>
      <c r="N61" s="6">
        <f>IF(ISBLANK(D61),0,(D61*N$2/D$2))</f>
        <v>206</v>
      </c>
    </row>
    <row r="62" spans="1:14">
      <c r="E62" s="1">
        <f xml:space="preserve"> C62/C$2</f>
        <v>0</v>
      </c>
      <c r="F62" s="1">
        <f xml:space="preserve"> D62/D$2</f>
        <v>0</v>
      </c>
      <c r="G62" s="4">
        <f>IF(ISBLANK(C62),0,(C62*G$2/C$2))</f>
        <v>0</v>
      </c>
      <c r="H62" s="6">
        <f>IF(ISBLANK(D62),0,(D62*H$2/D$2))</f>
        <v>0</v>
      </c>
      <c r="J62" s="4">
        <f>IF(ISBLANK(C62),0,(C62*J$2/C$2))</f>
        <v>0</v>
      </c>
      <c r="K62" s="6">
        <f>IF(ISBLANK(D62),0,(D62*K$2/D$2))</f>
        <v>0</v>
      </c>
      <c r="M62" s="4">
        <f>IF(ISBLANK(C62),0,(C62*M$2/C$2))</f>
        <v>0</v>
      </c>
      <c r="N62" s="6">
        <f>IF(ISBLANK(D62),0,(D62*N$2/D$2))</f>
        <v>0</v>
      </c>
    </row>
    <row r="63" spans="1:14">
      <c r="A63" t="s">
        <v>17</v>
      </c>
      <c r="C63" s="4">
        <v>228</v>
      </c>
      <c r="D63" s="6">
        <v>372</v>
      </c>
      <c r="E63" s="1">
        <f xml:space="preserve"> C63/C$2</f>
        <v>8.9062500000000003E-2</v>
      </c>
      <c r="F63" s="1">
        <f xml:space="preserve"> D63/D$2</f>
        <v>0.25833333333333336</v>
      </c>
      <c r="G63" s="4">
        <f>IF(ISBLANK(C63),0,(C63*G$2/C$2))</f>
        <v>342</v>
      </c>
      <c r="H63" s="6">
        <f>IF(ISBLANK(D63),0,(D63*H$2/D$2))</f>
        <v>558</v>
      </c>
      <c r="J63" s="4">
        <f>IF(ISBLANK(C63),0,(C63*J$2/C$2))</f>
        <v>171</v>
      </c>
      <c r="K63" s="6">
        <f>IF(ISBLANK(D63),0,(D63*K$2/D$2))</f>
        <v>279</v>
      </c>
      <c r="M63" s="4">
        <f>IF(ISBLANK(C63),0,(C63*M$2/C$2))</f>
        <v>114</v>
      </c>
      <c r="N63" s="6">
        <f>IF(ISBLANK(D63),0,(D63*N$2/D$2))</f>
        <v>186</v>
      </c>
    </row>
    <row r="64" spans="1:14">
      <c r="E64" s="1">
        <f xml:space="preserve"> C64/C$2</f>
        <v>0</v>
      </c>
      <c r="F64" s="1">
        <f xml:space="preserve"> D64/D$2</f>
        <v>0</v>
      </c>
      <c r="G64" s="4">
        <f>IF(ISBLANK(C64),0,(C64*G$2/C$2))</f>
        <v>0</v>
      </c>
      <c r="H64" s="6">
        <f>IF(ISBLANK(D64),0,(D64*H$2/D$2))</f>
        <v>0</v>
      </c>
      <c r="J64" s="4">
        <f>IF(ISBLANK(C64),0,(C64*J$2/C$2))</f>
        <v>0</v>
      </c>
      <c r="K64" s="6">
        <f>IF(ISBLANK(D64),0,(D64*K$2/D$2))</f>
        <v>0</v>
      </c>
      <c r="M64" s="4">
        <f>IF(ISBLANK(C64),0,(C64*M$2/C$2))</f>
        <v>0</v>
      </c>
      <c r="N64" s="6">
        <f>IF(ISBLANK(D64),0,(D64*N$2/D$2))</f>
        <v>0</v>
      </c>
    </row>
    <row r="65" spans="1:14">
      <c r="A65" t="s">
        <v>5</v>
      </c>
      <c r="C65" s="4">
        <v>1320</v>
      </c>
      <c r="D65" s="6">
        <v>960</v>
      </c>
      <c r="E65" s="1">
        <f xml:space="preserve"> C65/C$2</f>
        <v>0.515625</v>
      </c>
      <c r="F65" s="1">
        <f xml:space="preserve"> D65/D$2</f>
        <v>0.66666666666666663</v>
      </c>
      <c r="G65" s="4">
        <f>IF(ISBLANK(C65),0,(C65*G$2/C$2))</f>
        <v>1980</v>
      </c>
      <c r="H65" s="6">
        <f>IF(ISBLANK(D65),0,(D65*H$2/D$2))</f>
        <v>1440</v>
      </c>
      <c r="J65" s="4">
        <f>IF(ISBLANK(C65),0,(C65*J$2/C$2))</f>
        <v>990</v>
      </c>
      <c r="K65" s="6">
        <f>IF(ISBLANK(D65),0,(D65*K$2/D$2))</f>
        <v>720</v>
      </c>
      <c r="M65" s="4">
        <f>IF(ISBLANK(C65),0,(C65*M$2/C$2))</f>
        <v>660</v>
      </c>
      <c r="N65" s="6">
        <f>IF(ISBLANK(D65),0,(D65*N$2/D$2))</f>
        <v>480</v>
      </c>
    </row>
    <row r="66" spans="1:14">
      <c r="E66" s="1">
        <f xml:space="preserve"> C66/C$2</f>
        <v>0</v>
      </c>
      <c r="F66" s="1">
        <f xml:space="preserve"> D66/D$2</f>
        <v>0</v>
      </c>
      <c r="G66" s="4">
        <f>IF(ISBLANK(C66),0,(C66*G$2/C$2))</f>
        <v>0</v>
      </c>
      <c r="H66" s="6">
        <f>IF(ISBLANK(D66),0,(D66*H$2/D$2))</f>
        <v>0</v>
      </c>
      <c r="J66" s="4">
        <f>IF(ISBLANK(C66),0,(C66*J$2/C$2))</f>
        <v>0</v>
      </c>
      <c r="K66" s="6">
        <f>IF(ISBLANK(D66),0,(D66*K$2/D$2))</f>
        <v>0</v>
      </c>
      <c r="M66" s="4">
        <f>IF(ISBLANK(C66),0,(C66*M$2/C$2))</f>
        <v>0</v>
      </c>
      <c r="N66" s="6">
        <f>IF(ISBLANK(D66),0,(D66*N$2/D$2))</f>
        <v>0</v>
      </c>
    </row>
    <row r="67" spans="1:14">
      <c r="A67" t="s">
        <v>18</v>
      </c>
      <c r="D67" s="6">
        <v>82</v>
      </c>
      <c r="E67" s="1">
        <f xml:space="preserve"> C67/C$2</f>
        <v>0</v>
      </c>
      <c r="F67" s="1">
        <f xml:space="preserve"> D67/D$2</f>
        <v>5.6944444444444443E-2</v>
      </c>
      <c r="G67" s="4">
        <f>IF(ISBLANK(C67),0,(C67*G$2/C$2))</f>
        <v>0</v>
      </c>
      <c r="H67" s="6">
        <f>IF(ISBLANK(D67),0,(D67*H$2/D$2))</f>
        <v>123</v>
      </c>
      <c r="J67" s="4">
        <f>IF(ISBLANK(C67),0,(C67*J$2/C$2))</f>
        <v>0</v>
      </c>
      <c r="K67" s="6">
        <f>IF(ISBLANK(D67),0,(D67*K$2/D$2))</f>
        <v>61.5</v>
      </c>
      <c r="M67" s="4">
        <f>IF(ISBLANK(C67),0,(C67*M$2/C$2))</f>
        <v>0</v>
      </c>
      <c r="N67" s="6">
        <f>IF(ISBLANK(D67),0,(D67*N$2/D$2))</f>
        <v>41</v>
      </c>
    </row>
    <row r="68" spans="1:14">
      <c r="E68" s="1">
        <f xml:space="preserve"> C68/C$2</f>
        <v>0</v>
      </c>
      <c r="F68" s="1">
        <f xml:space="preserve"> D68/D$2</f>
        <v>0</v>
      </c>
      <c r="G68" s="4">
        <f>IF(ISBLANK(C68),0,(C68*G$2/C$2))</f>
        <v>0</v>
      </c>
      <c r="H68" s="6">
        <f>IF(ISBLANK(D68),0,(D68*H$2/D$2))</f>
        <v>0</v>
      </c>
      <c r="J68" s="4">
        <f>IF(ISBLANK(C68),0,(C68*J$2/C$2))</f>
        <v>0</v>
      </c>
      <c r="K68" s="6">
        <f>IF(ISBLANK(D68),0,(D68*K$2/D$2))</f>
        <v>0</v>
      </c>
      <c r="M68" s="4">
        <f>IF(ISBLANK(C68),0,(C68*M$2/C$2))</f>
        <v>0</v>
      </c>
      <c r="N68" s="6">
        <f>IF(ISBLANK(D68),0,(D68*N$2/D$2))</f>
        <v>0</v>
      </c>
    </row>
    <row r="69" spans="1:14">
      <c r="A69" t="s">
        <v>22</v>
      </c>
      <c r="C69" s="4">
        <v>124</v>
      </c>
      <c r="D69" s="6">
        <v>80</v>
      </c>
      <c r="E69" s="1">
        <f xml:space="preserve"> C69/C$2</f>
        <v>4.8437500000000001E-2</v>
      </c>
      <c r="F69" s="1">
        <f xml:space="preserve"> D69/D$2</f>
        <v>5.5555555555555552E-2</v>
      </c>
      <c r="G69" s="4">
        <f>IF(ISBLANK(C69),0,(C69*G$2/C$2))</f>
        <v>186</v>
      </c>
      <c r="H69" s="6">
        <f>IF(ISBLANK(D69),0,(D69*H$2/D$2))</f>
        <v>120</v>
      </c>
      <c r="J69" s="4">
        <f>IF(ISBLANK(C69),0,(C69*J$2/C$2))</f>
        <v>93</v>
      </c>
      <c r="K69" s="6">
        <f>IF(ISBLANK(D69),0,(D69*K$2/D$2))</f>
        <v>60</v>
      </c>
      <c r="M69" s="4">
        <f>IF(ISBLANK(C69),0,(C69*M$2/C$2))</f>
        <v>62</v>
      </c>
      <c r="N69" s="6">
        <f>IF(ISBLANK(D69),0,(D69*N$2/D$2))</f>
        <v>40</v>
      </c>
    </row>
    <row r="70" spans="1:14">
      <c r="E70" s="1">
        <f xml:space="preserve"> C70/C$2</f>
        <v>0</v>
      </c>
      <c r="F70" s="1">
        <f xml:space="preserve"> D70/D$2</f>
        <v>0</v>
      </c>
      <c r="G70" s="4">
        <f>IF(ISBLANK(C70),0,(C70*G$2/C$2))</f>
        <v>0</v>
      </c>
      <c r="H70" s="6">
        <f>IF(ISBLANK(D70),0,(D70*H$2/D$2))</f>
        <v>0</v>
      </c>
      <c r="J70" s="4">
        <f>IF(ISBLANK(C70),0,(C70*J$2/C$2))</f>
        <v>0</v>
      </c>
      <c r="K70" s="6">
        <f>IF(ISBLANK(D70),0,(D70*K$2/D$2))</f>
        <v>0</v>
      </c>
      <c r="M70" s="4">
        <f>IF(ISBLANK(C70),0,(C70*M$2/C$2))</f>
        <v>0</v>
      </c>
      <c r="N70" s="6">
        <f>IF(ISBLANK(D70),0,(D70*N$2/D$2))</f>
        <v>0</v>
      </c>
    </row>
    <row r="71" spans="1:14">
      <c r="A71" t="s">
        <v>23</v>
      </c>
      <c r="C71" s="4">
        <v>124</v>
      </c>
      <c r="D71" s="6">
        <v>100</v>
      </c>
      <c r="E71" s="1">
        <f xml:space="preserve"> C71/C$2</f>
        <v>4.8437500000000001E-2</v>
      </c>
      <c r="F71" s="1">
        <f xml:space="preserve"> D71/D$2</f>
        <v>6.9444444444444448E-2</v>
      </c>
      <c r="G71" s="4">
        <f>IF(ISBLANK(C71),0,(C71*G$2/C$2))</f>
        <v>186</v>
      </c>
      <c r="H71" s="6">
        <f>IF(ISBLANK(D71),0,(D71*H$2/D$2))</f>
        <v>150</v>
      </c>
      <c r="J71" s="4">
        <f>IF(ISBLANK(C71),0,(C71*J$2/C$2))</f>
        <v>93</v>
      </c>
      <c r="K71" s="6">
        <f>IF(ISBLANK(D71),0,(D71*K$2/D$2))</f>
        <v>75</v>
      </c>
      <c r="M71" s="4">
        <f>IF(ISBLANK(C71),0,(C71*M$2/C$2))</f>
        <v>62</v>
      </c>
      <c r="N71" s="6">
        <f>IF(ISBLANK(D71),0,(D71*N$2/D$2))</f>
        <v>50</v>
      </c>
    </row>
    <row r="72" spans="1:14">
      <c r="E72" s="1">
        <f xml:space="preserve"> C72/C$2</f>
        <v>0</v>
      </c>
      <c r="F72" s="1">
        <f xml:space="preserve"> D72/D$2</f>
        <v>0</v>
      </c>
      <c r="G72" s="4">
        <f>IF(ISBLANK(C72),0,(C72*G$2/C$2))</f>
        <v>0</v>
      </c>
      <c r="H72" s="6">
        <f>IF(ISBLANK(D72),0,(D72*H$2/D$2))</f>
        <v>0</v>
      </c>
      <c r="J72" s="4">
        <f>IF(ISBLANK(C72),0,(C72*J$2/C$2))</f>
        <v>0</v>
      </c>
      <c r="K72" s="6">
        <f>IF(ISBLANK(D72),0,(D72*K$2/D$2))</f>
        <v>0</v>
      </c>
      <c r="M72" s="4">
        <f>IF(ISBLANK(C72),0,(C72*M$2/C$2))</f>
        <v>0</v>
      </c>
      <c r="N72" s="6">
        <f>IF(ISBLANK(D72),0,(D72*N$2/D$2))</f>
        <v>0</v>
      </c>
    </row>
    <row r="73" spans="1:14">
      <c r="A73" t="s">
        <v>24</v>
      </c>
      <c r="C73" s="4">
        <v>116</v>
      </c>
      <c r="D73" s="6">
        <v>112</v>
      </c>
      <c r="E73" s="1">
        <f xml:space="preserve"> C73/C$2</f>
        <v>4.5312499999999999E-2</v>
      </c>
      <c r="F73" s="1">
        <f xml:space="preserve"> D73/D$2</f>
        <v>7.7777777777777779E-2</v>
      </c>
      <c r="G73" s="4">
        <f>IF(ISBLANK(C73),0,(C73*G$2/C$2))</f>
        <v>174</v>
      </c>
      <c r="H73" s="6">
        <f>IF(ISBLANK(D73),0,(D73*H$2/D$2))</f>
        <v>168</v>
      </c>
      <c r="J73" s="4">
        <f>IF(ISBLANK(C73),0,(C73*J$2/C$2))</f>
        <v>87</v>
      </c>
      <c r="K73" s="6">
        <f>IF(ISBLANK(D73),0,(D73*K$2/D$2))</f>
        <v>84</v>
      </c>
      <c r="M73" s="4">
        <f>IF(ISBLANK(C73),0,(C73*M$2/C$2))</f>
        <v>58</v>
      </c>
      <c r="N73" s="6">
        <f>IF(ISBLANK(D73),0,(D73*N$2/D$2))</f>
        <v>56</v>
      </c>
    </row>
    <row r="74" spans="1:14">
      <c r="E74" s="1">
        <f xml:space="preserve"> C74/C$2</f>
        <v>0</v>
      </c>
      <c r="F74" s="1">
        <f xml:space="preserve"> D74/D$2</f>
        <v>0</v>
      </c>
      <c r="G74" s="4">
        <f>IF(ISBLANK(C74),0,(C74*G$2/C$2))</f>
        <v>0</v>
      </c>
      <c r="H74" s="6">
        <f>IF(ISBLANK(D74),0,(D74*H$2/D$2))</f>
        <v>0</v>
      </c>
      <c r="J74" s="4">
        <f>IF(ISBLANK(C74),0,(C74*J$2/C$2))</f>
        <v>0</v>
      </c>
      <c r="K74" s="6">
        <f>IF(ISBLANK(D74),0,(D74*K$2/D$2))</f>
        <v>0</v>
      </c>
      <c r="M74" s="4">
        <f>IF(ISBLANK(C74),0,(C74*M$2/C$2))</f>
        <v>0</v>
      </c>
      <c r="N74" s="6">
        <f>IF(ISBLANK(D74),0,(D74*N$2/D$2))</f>
        <v>0</v>
      </c>
    </row>
    <row r="75" spans="1:14">
      <c r="E75" s="1">
        <f xml:space="preserve"> C75/C$2</f>
        <v>0</v>
      </c>
      <c r="F75" s="1">
        <f xml:space="preserve"> D75/D$2</f>
        <v>0</v>
      </c>
      <c r="G75" s="4">
        <f>IF(ISBLANK(C75),0,(C75*G$2/C$2))</f>
        <v>0</v>
      </c>
      <c r="H75" s="6">
        <f>IF(ISBLANK(D75),0,(D75*H$2/D$2))</f>
        <v>0</v>
      </c>
      <c r="J75" s="4">
        <f>IF(ISBLANK(C75),0,(C75*J$2/C$2))</f>
        <v>0</v>
      </c>
      <c r="K75" s="6">
        <f>IF(ISBLANK(D75),0,(D75*K$2/D$2))</f>
        <v>0</v>
      </c>
      <c r="M75" s="4">
        <f>IF(ISBLANK(C75),0,(C75*M$2/C$2))</f>
        <v>0</v>
      </c>
      <c r="N75" s="6">
        <f>IF(ISBLANK(D75),0,(D75*N$2/D$2))</f>
        <v>0</v>
      </c>
    </row>
    <row r="76" spans="1:14">
      <c r="A76" t="s">
        <v>26</v>
      </c>
      <c r="C76" s="4">
        <v>280</v>
      </c>
      <c r="D76" s="6">
        <v>84</v>
      </c>
      <c r="E76" s="1">
        <f xml:space="preserve"> C76/C$2</f>
        <v>0.109375</v>
      </c>
      <c r="F76" s="1">
        <f xml:space="preserve"> D76/D$2</f>
        <v>5.8333333333333334E-2</v>
      </c>
      <c r="G76" s="4">
        <f>IF(ISBLANK(C76),0,(C76*G$2/C$2))</f>
        <v>420</v>
      </c>
      <c r="H76" s="6">
        <f>IF(ISBLANK(D76),0,(D76*H$2/D$2))</f>
        <v>126</v>
      </c>
      <c r="J76" s="4">
        <f>IF(ISBLANK(C76),0,(C76*J$2/C$2))</f>
        <v>210</v>
      </c>
      <c r="K76" s="6">
        <f>IF(ISBLANK(D76),0,(D76*K$2/D$2))</f>
        <v>63</v>
      </c>
      <c r="M76" s="4">
        <f>IF(ISBLANK(C76),0,(C76*M$2/C$2))</f>
        <v>140</v>
      </c>
      <c r="N76" s="6">
        <f>IF(ISBLANK(D76),0,(D76*N$2/D$2))</f>
        <v>42</v>
      </c>
    </row>
    <row r="77" spans="1:14">
      <c r="E77" s="1">
        <f xml:space="preserve"> C77/C$2</f>
        <v>0</v>
      </c>
      <c r="F77" s="1">
        <f xml:space="preserve"> D77/D$2</f>
        <v>0</v>
      </c>
      <c r="G77" s="4">
        <f>IF(ISBLANK(C77),0,(C77*G$2/C$2))</f>
        <v>0</v>
      </c>
      <c r="H77" s="6">
        <f>IF(ISBLANK(D77),0,(D77*H$2/D$2))</f>
        <v>0</v>
      </c>
      <c r="J77" s="4">
        <f>IF(ISBLANK(C77),0,(C77*J$2/C$2))</f>
        <v>0</v>
      </c>
      <c r="K77" s="6">
        <f>IF(ISBLANK(D77),0,(D77*K$2/D$2))</f>
        <v>0</v>
      </c>
      <c r="M77" s="4">
        <f>IF(ISBLANK(C77),0,(C77*M$2/C$2))</f>
        <v>0</v>
      </c>
      <c r="N77" s="6">
        <f>IF(ISBLANK(D77),0,(D77*N$2/D$2))</f>
        <v>0</v>
      </c>
    </row>
    <row r="78" spans="1:14">
      <c r="A78" t="s">
        <v>27</v>
      </c>
      <c r="C78" s="4">
        <v>660</v>
      </c>
      <c r="D78" s="6">
        <v>140</v>
      </c>
      <c r="E78" s="1">
        <f xml:space="preserve"> C78/C$2</f>
        <v>0.2578125</v>
      </c>
      <c r="F78" s="1">
        <f xml:space="preserve"> D78/D$2</f>
        <v>9.7222222222222224E-2</v>
      </c>
      <c r="G78" s="4">
        <f>IF(ISBLANK(C78),0,(C78*G$2/C$2))</f>
        <v>990</v>
      </c>
      <c r="H78" s="6">
        <f>IF(ISBLANK(D78),0,(D78*H$2/D$2))</f>
        <v>210</v>
      </c>
      <c r="J78" s="4">
        <f>IF(ISBLANK(C78),0,(C78*J$2/C$2))</f>
        <v>495</v>
      </c>
      <c r="K78" s="6">
        <f>IF(ISBLANK(D78),0,(D78*K$2/D$2))</f>
        <v>105</v>
      </c>
      <c r="M78" s="4">
        <f>IF(ISBLANK(C78),0,(C78*M$2/C$2))</f>
        <v>330</v>
      </c>
      <c r="N78" s="6">
        <f>IF(ISBLANK(D78),0,(D78*N$2/D$2))</f>
        <v>70</v>
      </c>
    </row>
    <row r="79" spans="1:14">
      <c r="A79" t="s">
        <v>28</v>
      </c>
      <c r="C79" s="4">
        <v>560</v>
      </c>
      <c r="D79" s="6">
        <v>46</v>
      </c>
      <c r="E79" s="1">
        <f xml:space="preserve"> C79/C$2</f>
        <v>0.21875</v>
      </c>
      <c r="F79" s="1">
        <f xml:space="preserve"> D79/D$2</f>
        <v>3.1944444444444442E-2</v>
      </c>
      <c r="G79" s="4">
        <f>IF(ISBLANK(C79),0,(C79*G$2/C$2))</f>
        <v>840</v>
      </c>
      <c r="H79" s="6">
        <f>IF(ISBLANK(D79),0,(D79*H$2/D$2))</f>
        <v>69</v>
      </c>
      <c r="J79" s="4">
        <f>IF(ISBLANK(C79),0,(C79*J$2/C$2))</f>
        <v>420</v>
      </c>
      <c r="K79" s="6">
        <f>IF(ISBLANK(D79),0,(D79*K$2/D$2))</f>
        <v>34.5</v>
      </c>
      <c r="M79" s="4">
        <f>IF(ISBLANK(C79),0,(C79*M$2/C$2))</f>
        <v>280</v>
      </c>
      <c r="N79" s="6">
        <f>IF(ISBLANK(D79),0,(D79*N$2/D$2))</f>
        <v>23</v>
      </c>
    </row>
    <row r="80" spans="1:14">
      <c r="E80" s="1">
        <f xml:space="preserve"> C80/C$2</f>
        <v>0</v>
      </c>
      <c r="F80" s="1">
        <f xml:space="preserve"> D80/D$2</f>
        <v>0</v>
      </c>
      <c r="G80" s="4">
        <f>IF(ISBLANK(C80),0,(C80*G$2/C$2))</f>
        <v>0</v>
      </c>
      <c r="H80" s="6">
        <f>IF(ISBLANK(D80),0,(D80*H$2/D$2))</f>
        <v>0</v>
      </c>
      <c r="J80" s="4">
        <f>IF(ISBLANK(C80),0,(C80*J$2/C$2))</f>
        <v>0</v>
      </c>
      <c r="K80" s="6">
        <f>IF(ISBLANK(D80),0,(D80*K$2/D$2))</f>
        <v>0</v>
      </c>
      <c r="M80" s="4">
        <f>IF(ISBLANK(C80),0,(C80*M$2/C$2))</f>
        <v>0</v>
      </c>
      <c r="N80" s="6">
        <f>IF(ISBLANK(D80),0,(D80*N$2/D$2))</f>
        <v>0</v>
      </c>
    </row>
    <row r="81" spans="5:14">
      <c r="E81" s="1">
        <f xml:space="preserve"> C81/C$2</f>
        <v>0</v>
      </c>
      <c r="F81" s="1">
        <f xml:space="preserve"> D81/D$2</f>
        <v>0</v>
      </c>
      <c r="G81" s="4">
        <f>IF(ISBLANK(C81),0,(C81*G$2/C$2))</f>
        <v>0</v>
      </c>
      <c r="H81" s="6">
        <f>IF(ISBLANK(D81),0,(D81*H$2/D$2))</f>
        <v>0</v>
      </c>
      <c r="J81" s="4">
        <f>IF(ISBLANK(C81),0,(C81*J$2/C$2))</f>
        <v>0</v>
      </c>
      <c r="K81" s="6">
        <f>IF(ISBLANK(D81),0,(D81*K$2/D$2))</f>
        <v>0</v>
      </c>
      <c r="M81" s="4">
        <f>IF(ISBLANK(C81),0,(C81*M$2/C$2))</f>
        <v>0</v>
      </c>
      <c r="N81" s="6">
        <f>IF(ISBLANK(D81),0,(D81*N$2/D$2))</f>
        <v>0</v>
      </c>
    </row>
    <row r="82" spans="5:14">
      <c r="E82" s="1">
        <f xml:space="preserve"> C82/C$2</f>
        <v>0</v>
      </c>
      <c r="F82" s="1">
        <f xml:space="preserve"> D82/D$2</f>
        <v>0</v>
      </c>
      <c r="G82" s="4">
        <f>IF(ISBLANK(C82),0,(C82*G$2/C$2))</f>
        <v>0</v>
      </c>
      <c r="H82" s="6">
        <f>IF(ISBLANK(D82),0,(D82*H$2/D$2))</f>
        <v>0</v>
      </c>
      <c r="J82" s="4">
        <f>IF(ISBLANK(C82),0,(C82*J$2/C$2))</f>
        <v>0</v>
      </c>
      <c r="K82" s="6">
        <f>IF(ISBLANK(D82),0,(D82*K$2/D$2))</f>
        <v>0</v>
      </c>
      <c r="M82" s="4">
        <f>IF(ISBLANK(C82),0,(C82*M$2/C$2))</f>
        <v>0</v>
      </c>
      <c r="N82" s="6">
        <f>IF(ISBLANK(D82),0,(D82*N$2/D$2))</f>
        <v>0</v>
      </c>
    </row>
    <row r="83" spans="5:14">
      <c r="E83" s="1">
        <f xml:space="preserve"> C83/C$2</f>
        <v>0</v>
      </c>
      <c r="F83" s="1">
        <f xml:space="preserve"> D83/D$2</f>
        <v>0</v>
      </c>
      <c r="G83" s="4">
        <f>IF(ISBLANK(C83),0,(C83*G$2/C$2))</f>
        <v>0</v>
      </c>
      <c r="H83" s="6">
        <f>IF(ISBLANK(D83),0,(D83*H$2/D$2))</f>
        <v>0</v>
      </c>
      <c r="J83" s="4">
        <f>IF(ISBLANK(C83),0,(C83*J$2/C$2))</f>
        <v>0</v>
      </c>
      <c r="K83" s="6">
        <f>IF(ISBLANK(D83),0,(D83*K$2/D$2))</f>
        <v>0</v>
      </c>
      <c r="M83" s="4">
        <f>IF(ISBLANK(C83),0,(C83*M$2/C$2))</f>
        <v>0</v>
      </c>
      <c r="N83" s="6">
        <f>IF(ISBLANK(D83),0,(D83*N$2/D$2))</f>
        <v>0</v>
      </c>
    </row>
    <row r="84" spans="5:14">
      <c r="E84" s="1">
        <f xml:space="preserve"> C84/C$2</f>
        <v>0</v>
      </c>
      <c r="F84" s="1">
        <f xml:space="preserve"> D84/D$2</f>
        <v>0</v>
      </c>
      <c r="G84" s="4">
        <f>IF(ISBLANK(C84),0,(C84*G$2/C$2))</f>
        <v>0</v>
      </c>
      <c r="H84" s="6">
        <f>IF(ISBLANK(D84),0,(D84*H$2/D$2))</f>
        <v>0</v>
      </c>
      <c r="J84" s="4">
        <f>IF(ISBLANK(C84),0,(C84*J$2/C$2))</f>
        <v>0</v>
      </c>
      <c r="K84" s="6">
        <f>IF(ISBLANK(D84),0,(D84*K$2/D$2))</f>
        <v>0</v>
      </c>
      <c r="M84" s="4">
        <f>IF(ISBLANK(C84),0,(C84*M$2/C$2))</f>
        <v>0</v>
      </c>
      <c r="N84" s="6">
        <f>IF(ISBLANK(D84),0,(D84*N$2/D$2))</f>
        <v>0</v>
      </c>
    </row>
    <row r="85" spans="5:14">
      <c r="E85" s="1">
        <f xml:space="preserve"> C85/C$2</f>
        <v>0</v>
      </c>
      <c r="F85" s="1">
        <f xml:space="preserve"> D85/D$2</f>
        <v>0</v>
      </c>
      <c r="G85" s="4">
        <f>IF(ISBLANK(C85),0,(C85*G$2/C$2))</f>
        <v>0</v>
      </c>
      <c r="H85" s="6">
        <f>IF(ISBLANK(D85),0,(D85*H$2/D$2))</f>
        <v>0</v>
      </c>
      <c r="J85" s="4">
        <f>IF(ISBLANK(C85),0,(C85*J$2/C$2))</f>
        <v>0</v>
      </c>
      <c r="K85" s="6">
        <f>IF(ISBLANK(D85),0,(D85*K$2/D$2))</f>
        <v>0</v>
      </c>
      <c r="M85" s="4">
        <f>IF(ISBLANK(C85),0,(C85*M$2/C$2))</f>
        <v>0</v>
      </c>
      <c r="N85" s="6">
        <f>IF(ISBLANK(D85),0,(D85*N$2/D$2))</f>
        <v>0</v>
      </c>
    </row>
    <row r="86" spans="5:14">
      <c r="E86" s="1">
        <f xml:space="preserve"> C86/C$2</f>
        <v>0</v>
      </c>
      <c r="F86" s="1">
        <f xml:space="preserve"> D86/D$2</f>
        <v>0</v>
      </c>
      <c r="G86" s="4">
        <f>IF(ISBLANK(C86),0,(C86*G$2/C$2))</f>
        <v>0</v>
      </c>
      <c r="H86" s="6">
        <f>IF(ISBLANK(D86),0,(D86*H$2/D$2))</f>
        <v>0</v>
      </c>
      <c r="J86" s="4">
        <f>IF(ISBLANK(C86),0,(C86*J$2/C$2))</f>
        <v>0</v>
      </c>
      <c r="K86" s="6">
        <f>IF(ISBLANK(D86),0,(D86*K$2/D$2))</f>
        <v>0</v>
      </c>
      <c r="M86" s="4">
        <f>IF(ISBLANK(C86),0,(C86*M$2/C$2))</f>
        <v>0</v>
      </c>
      <c r="N86" s="6">
        <f>IF(ISBLANK(D86),0,(D86*N$2/D$2))</f>
        <v>0</v>
      </c>
    </row>
    <row r="87" spans="5:14">
      <c r="E87" s="1">
        <f xml:space="preserve"> C87/C$2</f>
        <v>0</v>
      </c>
      <c r="F87" s="1">
        <f xml:space="preserve"> D87/D$2</f>
        <v>0</v>
      </c>
      <c r="G87" s="4">
        <f>IF(ISBLANK(C87),0,(C87*G$2/C$2))</f>
        <v>0</v>
      </c>
      <c r="H87" s="6">
        <f>IF(ISBLANK(D87),0,(D87*H$2/D$2))</f>
        <v>0</v>
      </c>
      <c r="J87" s="4">
        <f>IF(ISBLANK(C87),0,(C87*J$2/C$2))</f>
        <v>0</v>
      </c>
      <c r="K87" s="6">
        <f>IF(ISBLANK(D87),0,(D87*K$2/D$2))</f>
        <v>0</v>
      </c>
      <c r="M87" s="4">
        <f>IF(ISBLANK(C87),0,(C87*M$2/C$2))</f>
        <v>0</v>
      </c>
      <c r="N87" s="6">
        <f>IF(ISBLANK(D87),0,(D87*N$2/D$2))</f>
        <v>0</v>
      </c>
    </row>
    <row r="88" spans="5:14">
      <c r="E88" s="1">
        <f xml:space="preserve"> C88/C$2</f>
        <v>0</v>
      </c>
      <c r="F88" s="1">
        <f xml:space="preserve"> D88/D$2</f>
        <v>0</v>
      </c>
      <c r="G88" s="4">
        <f>IF(ISBLANK(C88),0,(C88*G$2/C$2))</f>
        <v>0</v>
      </c>
      <c r="H88" s="6">
        <f>IF(ISBLANK(D88),0,(D88*H$2/D$2))</f>
        <v>0</v>
      </c>
      <c r="J88" s="4">
        <f>IF(ISBLANK(C88),0,(C88*J$2/C$2))</f>
        <v>0</v>
      </c>
      <c r="K88" s="6">
        <f>IF(ISBLANK(D88),0,(D88*K$2/D$2))</f>
        <v>0</v>
      </c>
      <c r="M88" s="4">
        <f>IF(ISBLANK(C88),0,(C88*M$2/C$2))</f>
        <v>0</v>
      </c>
      <c r="N88" s="6">
        <f>IF(ISBLANK(D88),0,(D88*N$2/D$2))</f>
        <v>0</v>
      </c>
    </row>
    <row r="89" spans="5:14">
      <c r="E89" s="1">
        <f xml:space="preserve"> C89/C$2</f>
        <v>0</v>
      </c>
      <c r="F89" s="1">
        <f xml:space="preserve"> D89/D$2</f>
        <v>0</v>
      </c>
      <c r="G89" s="4">
        <f>IF(ISBLANK(C89),0,(C89*G$2/C$2))</f>
        <v>0</v>
      </c>
      <c r="H89" s="6">
        <f>IF(ISBLANK(D89),0,(D89*H$2/D$2))</f>
        <v>0</v>
      </c>
      <c r="J89" s="4">
        <f>IF(ISBLANK(C89),0,(C89*J$2/C$2))</f>
        <v>0</v>
      </c>
      <c r="K89" s="6">
        <f>IF(ISBLANK(D89),0,(D89*K$2/D$2))</f>
        <v>0</v>
      </c>
      <c r="M89" s="4">
        <f>IF(ISBLANK(C89),0,(C89*M$2/C$2))</f>
        <v>0</v>
      </c>
      <c r="N89" s="6">
        <f>IF(ISBLANK(D89),0,(D89*N$2/D$2))</f>
        <v>0</v>
      </c>
    </row>
    <row r="90" spans="5:14">
      <c r="E90" s="1">
        <f xml:space="preserve"> C90/C$2</f>
        <v>0</v>
      </c>
      <c r="F90" s="1">
        <f xml:space="preserve"> D90/D$2</f>
        <v>0</v>
      </c>
      <c r="G90" s="4">
        <f>IF(ISBLANK(C90),0,(C90*G$2/C$2))</f>
        <v>0</v>
      </c>
      <c r="H90" s="6">
        <f>IF(ISBLANK(D90),0,(D90*H$2/D$2))</f>
        <v>0</v>
      </c>
      <c r="J90" s="4">
        <f>IF(ISBLANK(C90),0,(C90*J$2/C$2))</f>
        <v>0</v>
      </c>
      <c r="K90" s="6">
        <f>IF(ISBLANK(D90),0,(D90*K$2/D$2))</f>
        <v>0</v>
      </c>
      <c r="M90" s="4">
        <f>IF(ISBLANK(C90),0,(C90*M$2/C$2))</f>
        <v>0</v>
      </c>
      <c r="N90" s="6">
        <f>IF(ISBLANK(D90),0,(D90*N$2/D$2))</f>
        <v>0</v>
      </c>
    </row>
    <row r="91" spans="5:14">
      <c r="E91" s="1">
        <f xml:space="preserve"> C91/C$2</f>
        <v>0</v>
      </c>
      <c r="F91" s="1">
        <f xml:space="preserve"> D91/D$2</f>
        <v>0</v>
      </c>
      <c r="G91" s="4">
        <f>IF(ISBLANK(C91),0,(C91*G$2/C$2))</f>
        <v>0</v>
      </c>
      <c r="H91" s="6">
        <f>IF(ISBLANK(D91),0,(D91*H$2/D$2))</f>
        <v>0</v>
      </c>
      <c r="J91" s="4">
        <f>IF(ISBLANK(C91),0,(C91*J$2/C$2))</f>
        <v>0</v>
      </c>
      <c r="K91" s="6">
        <f>IF(ISBLANK(D91),0,(D91*K$2/D$2))</f>
        <v>0</v>
      </c>
      <c r="M91" s="4">
        <f>IF(ISBLANK(C91),0,(C91*M$2/C$2))</f>
        <v>0</v>
      </c>
      <c r="N91" s="6">
        <f>IF(ISBLANK(D91),0,(D91*N$2/D$2))</f>
        <v>0</v>
      </c>
    </row>
    <row r="92" spans="5:14">
      <c r="E92" s="1">
        <f xml:space="preserve"> C92/C$2</f>
        <v>0</v>
      </c>
      <c r="F92" s="1">
        <f xml:space="preserve"> D92/D$2</f>
        <v>0</v>
      </c>
      <c r="G92" s="4">
        <f>IF(ISBLANK(C92),0,(C92*G$2/C$2))</f>
        <v>0</v>
      </c>
      <c r="H92" s="6">
        <f>IF(ISBLANK(D92),0,(D92*H$2/D$2))</f>
        <v>0</v>
      </c>
      <c r="J92" s="4">
        <f>IF(ISBLANK(C92),0,(C92*J$2/C$2))</f>
        <v>0</v>
      </c>
      <c r="K92" s="6">
        <f>IF(ISBLANK(D92),0,(D92*K$2/D$2))</f>
        <v>0</v>
      </c>
      <c r="M92" s="4">
        <f>IF(ISBLANK(C92),0,(C92*M$2/C$2))</f>
        <v>0</v>
      </c>
      <c r="N92" s="6">
        <f>IF(ISBLANK(D92),0,(D92*N$2/D$2))</f>
        <v>0</v>
      </c>
    </row>
    <row r="93" spans="5:14">
      <c r="E93" s="1">
        <f xml:space="preserve"> C93/C$2</f>
        <v>0</v>
      </c>
      <c r="F93" s="1">
        <f xml:space="preserve"> D93/D$2</f>
        <v>0</v>
      </c>
      <c r="G93" s="4">
        <f>IF(ISBLANK(C93),0,(C93*G$2/C$2))</f>
        <v>0</v>
      </c>
      <c r="H93" s="6">
        <f>IF(ISBLANK(D93),0,(D93*H$2/D$2))</f>
        <v>0</v>
      </c>
      <c r="J93" s="4">
        <f>IF(ISBLANK(C93),0,(C93*J$2/C$2))</f>
        <v>0</v>
      </c>
      <c r="K93" s="6">
        <f>IF(ISBLANK(D93),0,(D93*K$2/D$2))</f>
        <v>0</v>
      </c>
      <c r="M93" s="4">
        <f>IF(ISBLANK(C93),0,(C93*M$2/C$2))</f>
        <v>0</v>
      </c>
      <c r="N93" s="6">
        <f>IF(ISBLANK(D93),0,(D93*N$2/D$2))</f>
        <v>0</v>
      </c>
    </row>
    <row r="94" spans="5:14">
      <c r="E94" s="1">
        <f xml:space="preserve"> C94/C$2</f>
        <v>0</v>
      </c>
      <c r="F94" s="1">
        <f xml:space="preserve"> D94/D$2</f>
        <v>0</v>
      </c>
      <c r="G94" s="4">
        <f>IF(ISBLANK(C94),0,(C94*G$2/C$2))</f>
        <v>0</v>
      </c>
      <c r="H94" s="6">
        <f>IF(ISBLANK(D94),0,(D94*H$2/D$2))</f>
        <v>0</v>
      </c>
      <c r="J94" s="4">
        <f>IF(ISBLANK(C94),0,(C94*J$2/C$2))</f>
        <v>0</v>
      </c>
      <c r="K94" s="6">
        <f>IF(ISBLANK(D94),0,(D94*K$2/D$2))</f>
        <v>0</v>
      </c>
      <c r="M94" s="4">
        <f>IF(ISBLANK(C94),0,(C94*M$2/C$2))</f>
        <v>0</v>
      </c>
      <c r="N94" s="6">
        <f>IF(ISBLANK(D94),0,(D94*N$2/D$2))</f>
        <v>0</v>
      </c>
    </row>
    <row r="95" spans="5:14">
      <c r="E95" s="1">
        <f xml:space="preserve"> C95/C$2</f>
        <v>0</v>
      </c>
      <c r="F95" s="1">
        <f xml:space="preserve"> D95/D$2</f>
        <v>0</v>
      </c>
      <c r="G95" s="4">
        <f>IF(ISBLANK(C95),0,(C95*G$2/C$2))</f>
        <v>0</v>
      </c>
      <c r="H95" s="6">
        <f>IF(ISBLANK(D95),0,(D95*H$2/D$2))</f>
        <v>0</v>
      </c>
      <c r="J95" s="4">
        <f>IF(ISBLANK(C95),0,(C95*J$2/C$2))</f>
        <v>0</v>
      </c>
      <c r="K95" s="6">
        <f>IF(ISBLANK(D95),0,(D95*K$2/D$2))</f>
        <v>0</v>
      </c>
      <c r="M95" s="4">
        <f>IF(ISBLANK(C95),0,(C95*M$2/C$2))</f>
        <v>0</v>
      </c>
      <c r="N95" s="6">
        <f>IF(ISBLANK(D95),0,(D95*N$2/D$2))</f>
        <v>0</v>
      </c>
    </row>
    <row r="96" spans="5:14">
      <c r="E96" s="1">
        <f xml:space="preserve"> C96/C$2</f>
        <v>0</v>
      </c>
      <c r="F96" s="1">
        <f xml:space="preserve"> D96/D$2</f>
        <v>0</v>
      </c>
      <c r="G96" s="4">
        <f>IF(ISBLANK(C96),0,(C96*G$2/C$2))</f>
        <v>0</v>
      </c>
      <c r="H96" s="6">
        <f>IF(ISBLANK(D96),0,(D96*H$2/D$2))</f>
        <v>0</v>
      </c>
      <c r="J96" s="4">
        <f>IF(ISBLANK(C96),0,(C96*J$2/C$2))</f>
        <v>0</v>
      </c>
      <c r="K96" s="6">
        <f>IF(ISBLANK(D96),0,(D96*K$2/D$2))</f>
        <v>0</v>
      </c>
      <c r="M96" s="4">
        <f>IF(ISBLANK(C96),0,(C96*M$2/C$2))</f>
        <v>0</v>
      </c>
      <c r="N96" s="6">
        <f>IF(ISBLANK(D96),0,(D96*N$2/D$2))</f>
        <v>0</v>
      </c>
    </row>
    <row r="97" spans="5:14">
      <c r="E97" s="1">
        <f xml:space="preserve"> C97/C$2</f>
        <v>0</v>
      </c>
      <c r="F97" s="1">
        <f xml:space="preserve"> D97/D$2</f>
        <v>0</v>
      </c>
      <c r="G97" s="4">
        <f>IF(ISBLANK(C97),0,(C97*G$2/C$2))</f>
        <v>0</v>
      </c>
      <c r="H97" s="6">
        <f>IF(ISBLANK(D97),0,(D97*H$2/D$2))</f>
        <v>0</v>
      </c>
      <c r="J97" s="4">
        <f>IF(ISBLANK(C97),0,(C97*J$2/C$2))</f>
        <v>0</v>
      </c>
      <c r="K97" s="6">
        <f>IF(ISBLANK(D97),0,(D97*K$2/D$2))</f>
        <v>0</v>
      </c>
      <c r="M97" s="4">
        <f>IF(ISBLANK(C97),0,(C97*M$2/C$2))</f>
        <v>0</v>
      </c>
      <c r="N97" s="6">
        <f>IF(ISBLANK(D97),0,(D97*N$2/D$2))</f>
        <v>0</v>
      </c>
    </row>
    <row r="98" spans="5:14">
      <c r="E98" s="1">
        <f xml:space="preserve"> C98/C$2</f>
        <v>0</v>
      </c>
      <c r="F98" s="1">
        <f xml:space="preserve"> D98/D$2</f>
        <v>0</v>
      </c>
      <c r="G98" s="4">
        <f>IF(ISBLANK(C98),0,(C98*G$2/C$2))</f>
        <v>0</v>
      </c>
      <c r="H98" s="6">
        <f>IF(ISBLANK(D98),0,(D98*H$2/D$2))</f>
        <v>0</v>
      </c>
      <c r="J98" s="4">
        <f>IF(ISBLANK(C98),0,(C98*J$2/C$2))</f>
        <v>0</v>
      </c>
      <c r="K98" s="6">
        <f>IF(ISBLANK(D98),0,(D98*K$2/D$2))</f>
        <v>0</v>
      </c>
      <c r="M98" s="4">
        <f>IF(ISBLANK(C98),0,(C98*M$2/C$2))</f>
        <v>0</v>
      </c>
      <c r="N98" s="6">
        <f>IF(ISBLANK(D98),0,(D98*N$2/D$2))</f>
        <v>0</v>
      </c>
    </row>
    <row r="99" spans="5:14">
      <c r="E99" s="1">
        <f xml:space="preserve"> C99/C$2</f>
        <v>0</v>
      </c>
      <c r="F99" s="1">
        <f xml:space="preserve"> D99/D$2</f>
        <v>0</v>
      </c>
      <c r="G99" s="4">
        <f>IF(ISBLANK(C99),0,(C99*G$2/C$2))</f>
        <v>0</v>
      </c>
      <c r="H99" s="6">
        <f>IF(ISBLANK(D99),0,(D99*H$2/D$2))</f>
        <v>0</v>
      </c>
      <c r="J99" s="4">
        <f>IF(ISBLANK(C99),0,(C99*J$2/C$2))</f>
        <v>0</v>
      </c>
      <c r="K99" s="6">
        <f>IF(ISBLANK(D99),0,(D99*K$2/D$2))</f>
        <v>0</v>
      </c>
      <c r="M99" s="4">
        <f>IF(ISBLANK(C99),0,(C99*M$2/C$2))</f>
        <v>0</v>
      </c>
      <c r="N99" s="6">
        <f>IF(ISBLANK(D99),0,(D99*N$2/D$2))</f>
        <v>0</v>
      </c>
    </row>
    <row r="100" spans="5:14">
      <c r="E100" s="1">
        <f xml:space="preserve"> C100/C$2</f>
        <v>0</v>
      </c>
      <c r="F100" s="1">
        <f xml:space="preserve"> D100/D$2</f>
        <v>0</v>
      </c>
      <c r="G100" s="4">
        <f>IF(ISBLANK(C100),0,(C100*G$2/C$2))</f>
        <v>0</v>
      </c>
      <c r="H100" s="6">
        <f>IF(ISBLANK(D100),0,(D100*H$2/D$2))</f>
        <v>0</v>
      </c>
      <c r="J100" s="4">
        <f>IF(ISBLANK(C100),0,(C100*J$2/C$2))</f>
        <v>0</v>
      </c>
      <c r="K100" s="6">
        <f>IF(ISBLANK(D100),0,(D100*K$2/D$2))</f>
        <v>0</v>
      </c>
      <c r="M100" s="4">
        <f>IF(ISBLANK(C100),0,(C100*M$2/C$2))</f>
        <v>0</v>
      </c>
      <c r="N100" s="6">
        <f>IF(ISBLANK(D100),0,(D100*N$2/D$2))</f>
        <v>0</v>
      </c>
    </row>
    <row r="101" spans="5:14">
      <c r="E101" s="1">
        <f t="shared" ref="E101:E111" si="112" xml:space="preserve"> C101/C$2</f>
        <v>0</v>
      </c>
      <c r="F101" s="1">
        <f t="shared" ref="F101:F111" si="113" xml:space="preserve"> D101/D$2</f>
        <v>0</v>
      </c>
      <c r="G101" s="4">
        <f t="shared" ref="G101:G111" si="114">IF(ISBLANK(C101),0,(C101*G$2/C$2))</f>
        <v>0</v>
      </c>
      <c r="H101" s="6">
        <f t="shared" ref="H101:H111" si="115">IF(ISBLANK(D101),0,(D101*H$2/D$2))</f>
        <v>0</v>
      </c>
      <c r="J101" s="4">
        <f t="shared" ref="J101:J111" si="116">IF(ISBLANK(C101),0,(C101*J$2/C$2))</f>
        <v>0</v>
      </c>
      <c r="K101" s="6">
        <f t="shared" ref="K101:K111" si="117">IF(ISBLANK(D101),0,(D101*K$2/D$2))</f>
        <v>0</v>
      </c>
      <c r="M101" s="4">
        <f t="shared" ref="M101:M111" si="118">IF(ISBLANK(C101),0,(C101*M$2/C$2))</f>
        <v>0</v>
      </c>
      <c r="N101" s="6">
        <f t="shared" ref="N101:N111" si="119">IF(ISBLANK(D101),0,(D101*N$2/D$2))</f>
        <v>0</v>
      </c>
    </row>
    <row r="102" spans="5:14">
      <c r="E102" s="1">
        <f t="shared" si="112"/>
        <v>0</v>
      </c>
      <c r="F102" s="1">
        <f t="shared" si="113"/>
        <v>0</v>
      </c>
      <c r="G102" s="4">
        <f t="shared" si="114"/>
        <v>0</v>
      </c>
      <c r="H102" s="6">
        <f t="shared" si="115"/>
        <v>0</v>
      </c>
      <c r="J102" s="4">
        <f t="shared" si="116"/>
        <v>0</v>
      </c>
      <c r="K102" s="6">
        <f t="shared" si="117"/>
        <v>0</v>
      </c>
      <c r="M102" s="4">
        <f t="shared" si="118"/>
        <v>0</v>
      </c>
      <c r="N102" s="6">
        <f t="shared" si="119"/>
        <v>0</v>
      </c>
    </row>
    <row r="103" spans="5:14">
      <c r="E103" s="1">
        <f t="shared" si="112"/>
        <v>0</v>
      </c>
      <c r="F103" s="1">
        <f t="shared" si="113"/>
        <v>0</v>
      </c>
      <c r="G103" s="4">
        <f t="shared" si="114"/>
        <v>0</v>
      </c>
      <c r="H103" s="6">
        <f t="shared" si="115"/>
        <v>0</v>
      </c>
      <c r="J103" s="4">
        <f t="shared" si="116"/>
        <v>0</v>
      </c>
      <c r="K103" s="6">
        <f t="shared" si="117"/>
        <v>0</v>
      </c>
      <c r="M103" s="4">
        <f t="shared" si="118"/>
        <v>0</v>
      </c>
      <c r="N103" s="6">
        <f t="shared" si="119"/>
        <v>0</v>
      </c>
    </row>
    <row r="104" spans="5:14">
      <c r="E104" s="1">
        <f t="shared" si="112"/>
        <v>0</v>
      </c>
      <c r="F104" s="1">
        <f t="shared" si="113"/>
        <v>0</v>
      </c>
      <c r="G104" s="4">
        <f t="shared" si="114"/>
        <v>0</v>
      </c>
      <c r="H104" s="6">
        <f t="shared" si="115"/>
        <v>0</v>
      </c>
      <c r="J104" s="4">
        <f t="shared" si="116"/>
        <v>0</v>
      </c>
      <c r="K104" s="6">
        <f t="shared" si="117"/>
        <v>0</v>
      </c>
      <c r="M104" s="4">
        <f t="shared" si="118"/>
        <v>0</v>
      </c>
      <c r="N104" s="6">
        <f t="shared" si="119"/>
        <v>0</v>
      </c>
    </row>
    <row r="105" spans="5:14">
      <c r="E105" s="1">
        <f t="shared" si="112"/>
        <v>0</v>
      </c>
      <c r="F105" s="1">
        <f t="shared" si="113"/>
        <v>0</v>
      </c>
      <c r="G105" s="4">
        <f t="shared" si="114"/>
        <v>0</v>
      </c>
      <c r="H105" s="6">
        <f t="shared" si="115"/>
        <v>0</v>
      </c>
      <c r="J105" s="4">
        <f t="shared" si="116"/>
        <v>0</v>
      </c>
      <c r="K105" s="6">
        <f t="shared" si="117"/>
        <v>0</v>
      </c>
      <c r="M105" s="4">
        <f t="shared" si="118"/>
        <v>0</v>
      </c>
      <c r="N105" s="6">
        <f t="shared" si="119"/>
        <v>0</v>
      </c>
    </row>
    <row r="106" spans="5:14">
      <c r="E106" s="1">
        <f t="shared" si="112"/>
        <v>0</v>
      </c>
      <c r="F106" s="1">
        <f t="shared" si="113"/>
        <v>0</v>
      </c>
      <c r="G106" s="4">
        <f t="shared" si="114"/>
        <v>0</v>
      </c>
      <c r="H106" s="6">
        <f t="shared" si="115"/>
        <v>0</v>
      </c>
      <c r="J106" s="4">
        <f t="shared" si="116"/>
        <v>0</v>
      </c>
      <c r="K106" s="6">
        <f t="shared" si="117"/>
        <v>0</v>
      </c>
      <c r="M106" s="4">
        <f t="shared" si="118"/>
        <v>0</v>
      </c>
      <c r="N106" s="6">
        <f t="shared" si="119"/>
        <v>0</v>
      </c>
    </row>
    <row r="107" spans="5:14">
      <c r="E107" s="1">
        <f t="shared" si="112"/>
        <v>0</v>
      </c>
      <c r="F107" s="1">
        <f t="shared" si="113"/>
        <v>0</v>
      </c>
      <c r="G107" s="4">
        <f t="shared" si="114"/>
        <v>0</v>
      </c>
      <c r="H107" s="6">
        <f t="shared" si="115"/>
        <v>0</v>
      </c>
      <c r="J107" s="4">
        <f t="shared" si="116"/>
        <v>0</v>
      </c>
      <c r="K107" s="6">
        <f t="shared" si="117"/>
        <v>0</v>
      </c>
      <c r="M107" s="4">
        <f t="shared" si="118"/>
        <v>0</v>
      </c>
      <c r="N107" s="6">
        <f t="shared" si="119"/>
        <v>0</v>
      </c>
    </row>
    <row r="108" spans="5:14">
      <c r="E108" s="1">
        <f t="shared" si="112"/>
        <v>0</v>
      </c>
      <c r="F108" s="1">
        <f t="shared" si="113"/>
        <v>0</v>
      </c>
      <c r="G108" s="4">
        <f t="shared" si="114"/>
        <v>0</v>
      </c>
      <c r="H108" s="6">
        <f t="shared" si="115"/>
        <v>0</v>
      </c>
      <c r="J108" s="4">
        <f t="shared" si="116"/>
        <v>0</v>
      </c>
      <c r="K108" s="6">
        <f t="shared" si="117"/>
        <v>0</v>
      </c>
      <c r="M108" s="4">
        <f t="shared" si="118"/>
        <v>0</v>
      </c>
      <c r="N108" s="6">
        <f t="shared" si="119"/>
        <v>0</v>
      </c>
    </row>
    <row r="109" spans="5:14">
      <c r="E109" s="1">
        <f t="shared" si="112"/>
        <v>0</v>
      </c>
      <c r="F109" s="1">
        <f t="shared" si="113"/>
        <v>0</v>
      </c>
      <c r="G109" s="4">
        <f t="shared" si="114"/>
        <v>0</v>
      </c>
      <c r="H109" s="6">
        <f t="shared" si="115"/>
        <v>0</v>
      </c>
      <c r="J109" s="4">
        <f t="shared" si="116"/>
        <v>0</v>
      </c>
      <c r="K109" s="6">
        <f t="shared" si="117"/>
        <v>0</v>
      </c>
      <c r="M109" s="4">
        <f t="shared" si="118"/>
        <v>0</v>
      </c>
      <c r="N109" s="6">
        <f t="shared" si="119"/>
        <v>0</v>
      </c>
    </row>
    <row r="110" spans="5:14">
      <c r="E110" s="1">
        <f t="shared" si="112"/>
        <v>0</v>
      </c>
      <c r="F110" s="1">
        <f t="shared" si="113"/>
        <v>0</v>
      </c>
      <c r="G110" s="4">
        <f t="shared" si="114"/>
        <v>0</v>
      </c>
      <c r="H110" s="6">
        <f t="shared" si="115"/>
        <v>0</v>
      </c>
      <c r="J110" s="4">
        <f t="shared" si="116"/>
        <v>0</v>
      </c>
      <c r="K110" s="6">
        <f t="shared" si="117"/>
        <v>0</v>
      </c>
      <c r="M110" s="4">
        <f t="shared" si="118"/>
        <v>0</v>
      </c>
      <c r="N110" s="6">
        <f t="shared" si="119"/>
        <v>0</v>
      </c>
    </row>
    <row r="111" spans="5:14">
      <c r="E111" s="1">
        <f t="shared" si="112"/>
        <v>0</v>
      </c>
      <c r="F111" s="1">
        <f t="shared" si="113"/>
        <v>0</v>
      </c>
      <c r="G111" s="4">
        <f t="shared" si="114"/>
        <v>0</v>
      </c>
      <c r="H111" s="6">
        <f t="shared" si="115"/>
        <v>0</v>
      </c>
      <c r="J111" s="4">
        <f t="shared" si="116"/>
        <v>0</v>
      </c>
      <c r="K111" s="6">
        <f t="shared" si="117"/>
        <v>0</v>
      </c>
      <c r="M111" s="4">
        <f t="shared" si="118"/>
        <v>0</v>
      </c>
      <c r="N111" s="6">
        <f t="shared" si="119"/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F404-7DCB-4B6F-A4C7-E2AB7E71A3FE}">
  <dimension ref="A1:W56"/>
  <sheetViews>
    <sheetView topLeftCell="D1" zoomScale="85" zoomScaleNormal="85" workbookViewId="0">
      <selection activeCell="R10" sqref="R10"/>
    </sheetView>
  </sheetViews>
  <sheetFormatPr baseColWidth="10" defaultRowHeight="15"/>
  <sheetData>
    <row r="1" spans="1:23">
      <c r="A1" s="3" t="s">
        <v>12</v>
      </c>
      <c r="B1" s="3"/>
      <c r="C1" s="3"/>
      <c r="D1" s="3" t="s">
        <v>13</v>
      </c>
      <c r="E1" s="3"/>
      <c r="F1" s="3"/>
      <c r="G1" s="3" t="s">
        <v>14</v>
      </c>
      <c r="H1" s="3"/>
      <c r="I1" s="3"/>
      <c r="J1" s="3" t="s">
        <v>15</v>
      </c>
      <c r="K1" s="3"/>
      <c r="L1" s="3"/>
      <c r="M1" s="3" t="s">
        <v>16</v>
      </c>
      <c r="N1" s="3"/>
      <c r="O1" s="3"/>
    </row>
    <row r="2" spans="1:23">
      <c r="A2">
        <v>4</v>
      </c>
      <c r="B2">
        <v>2</v>
      </c>
      <c r="C2">
        <v>0.5</v>
      </c>
      <c r="D2">
        <v>4</v>
      </c>
      <c r="E2">
        <v>2</v>
      </c>
      <c r="F2">
        <v>0.5</v>
      </c>
      <c r="G2">
        <v>4</v>
      </c>
      <c r="H2">
        <v>2</v>
      </c>
      <c r="I2">
        <v>0.5</v>
      </c>
      <c r="J2">
        <v>1.2</v>
      </c>
      <c r="K2">
        <v>0.6</v>
      </c>
      <c r="L2">
        <v>0.15</v>
      </c>
      <c r="M2">
        <v>0.6</v>
      </c>
      <c r="N2">
        <v>0.3</v>
      </c>
      <c r="O2">
        <v>7.0000000000000007E-2</v>
      </c>
      <c r="P2">
        <f>SUM(A2:O2)</f>
        <v>22.42</v>
      </c>
    </row>
    <row r="3" spans="1:23">
      <c r="A3">
        <f>100*A2</f>
        <v>400</v>
      </c>
      <c r="B3">
        <f t="shared" ref="B3:O3" si="0">100*B2</f>
        <v>200</v>
      </c>
      <c r="C3">
        <f t="shared" si="0"/>
        <v>50</v>
      </c>
      <c r="D3">
        <f t="shared" si="0"/>
        <v>400</v>
      </c>
      <c r="E3">
        <f t="shared" si="0"/>
        <v>200</v>
      </c>
      <c r="F3">
        <f t="shared" si="0"/>
        <v>50</v>
      </c>
      <c r="G3">
        <f t="shared" si="0"/>
        <v>400</v>
      </c>
      <c r="H3">
        <f t="shared" si="0"/>
        <v>200</v>
      </c>
      <c r="I3">
        <f t="shared" si="0"/>
        <v>50</v>
      </c>
      <c r="J3">
        <f t="shared" si="0"/>
        <v>120</v>
      </c>
      <c r="K3">
        <f t="shared" si="0"/>
        <v>60</v>
      </c>
      <c r="L3">
        <f t="shared" si="0"/>
        <v>15</v>
      </c>
      <c r="M3">
        <f t="shared" si="0"/>
        <v>60</v>
      </c>
      <c r="N3">
        <f t="shared" si="0"/>
        <v>30</v>
      </c>
      <c r="O3">
        <f t="shared" si="0"/>
        <v>7.0000000000000009</v>
      </c>
      <c r="P3">
        <f>SUM(A3:O3)</f>
        <v>2242</v>
      </c>
    </row>
    <row r="4" spans="1:23">
      <c r="A4">
        <f>A3</f>
        <v>400</v>
      </c>
      <c r="B4">
        <f>A4+B3</f>
        <v>600</v>
      </c>
      <c r="C4">
        <f t="shared" ref="C4:O4" si="1">B4+C3</f>
        <v>650</v>
      </c>
      <c r="D4">
        <f t="shared" si="1"/>
        <v>1050</v>
      </c>
      <c r="E4">
        <f t="shared" si="1"/>
        <v>1250</v>
      </c>
      <c r="F4">
        <f t="shared" si="1"/>
        <v>1300</v>
      </c>
      <c r="G4">
        <f t="shared" si="1"/>
        <v>1700</v>
      </c>
      <c r="H4">
        <f t="shared" si="1"/>
        <v>1900</v>
      </c>
      <c r="I4">
        <f t="shared" si="1"/>
        <v>1950</v>
      </c>
      <c r="J4">
        <f t="shared" si="1"/>
        <v>2070</v>
      </c>
      <c r="K4">
        <f t="shared" si="1"/>
        <v>2130</v>
      </c>
      <c r="L4">
        <f t="shared" si="1"/>
        <v>2145</v>
      </c>
      <c r="M4">
        <f t="shared" si="1"/>
        <v>2205</v>
      </c>
      <c r="N4">
        <f t="shared" si="1"/>
        <v>2235</v>
      </c>
      <c r="O4">
        <f t="shared" si="1"/>
        <v>2242</v>
      </c>
    </row>
    <row r="8" spans="1:23">
      <c r="E8" t="s">
        <v>11</v>
      </c>
      <c r="F8" t="s">
        <v>20</v>
      </c>
      <c r="G8" t="s">
        <v>19</v>
      </c>
      <c r="H8" t="s">
        <v>21</v>
      </c>
      <c r="I8" t="s">
        <v>16</v>
      </c>
    </row>
    <row r="9" spans="1:23">
      <c r="E9">
        <v>20</v>
      </c>
      <c r="F9">
        <v>4</v>
      </c>
      <c r="G9">
        <v>4</v>
      </c>
      <c r="H9">
        <v>0</v>
      </c>
      <c r="I9">
        <v>0</v>
      </c>
      <c r="J9">
        <f>SUM(E9:I9)</f>
        <v>28</v>
      </c>
      <c r="K9">
        <f>E9*100/$J9</f>
        <v>71.428571428571431</v>
      </c>
      <c r="L9">
        <f t="shared" ref="L9:O9" si="2">F9*100/$J9</f>
        <v>14.285714285714286</v>
      </c>
      <c r="M9">
        <f t="shared" si="2"/>
        <v>14.285714285714286</v>
      </c>
      <c r="N9">
        <f t="shared" si="2"/>
        <v>0</v>
      </c>
      <c r="O9">
        <f t="shared" si="2"/>
        <v>0</v>
      </c>
      <c r="R9">
        <v>1</v>
      </c>
      <c r="S9">
        <v>2</v>
      </c>
      <c r="T9">
        <v>3</v>
      </c>
      <c r="U9">
        <v>4</v>
      </c>
      <c r="V9">
        <v>5</v>
      </c>
    </row>
    <row r="10" spans="1:23">
      <c r="E10">
        <v>20</v>
      </c>
      <c r="F10">
        <v>4</v>
      </c>
      <c r="G10">
        <v>4</v>
      </c>
      <c r="H10">
        <v>0</v>
      </c>
      <c r="I10">
        <v>2</v>
      </c>
      <c r="J10">
        <f t="shared" ref="J10:J56" si="3">SUM(E10:I10)</f>
        <v>30</v>
      </c>
      <c r="K10">
        <f t="shared" ref="K10:K56" si="4">E10*100/$J10</f>
        <v>66.666666666666671</v>
      </c>
      <c r="L10">
        <f t="shared" ref="L10:L56" si="5">F10*100/$J10</f>
        <v>13.333333333333334</v>
      </c>
      <c r="M10">
        <f t="shared" ref="M10:M56" si="6">G10*100/$J10</f>
        <v>13.333333333333334</v>
      </c>
      <c r="N10">
        <f t="shared" ref="N10:N56" si="7">H10*100/$J10</f>
        <v>0</v>
      </c>
      <c r="O10">
        <f t="shared" ref="O10:O56" si="8">I10*100/$J10</f>
        <v>6.666666666666667</v>
      </c>
      <c r="Q10">
        <v>1</v>
      </c>
      <c r="R10" s="2">
        <v>0</v>
      </c>
      <c r="S10" s="2"/>
      <c r="T10" s="2"/>
      <c r="U10" s="2"/>
      <c r="V10" s="2"/>
      <c r="W10">
        <v>200</v>
      </c>
    </row>
    <row r="11" spans="1:23">
      <c r="E11">
        <v>20</v>
      </c>
      <c r="F11">
        <v>4</v>
      </c>
      <c r="G11">
        <v>4</v>
      </c>
      <c r="H11">
        <v>4</v>
      </c>
      <c r="I11">
        <v>0</v>
      </c>
      <c r="J11">
        <f t="shared" si="3"/>
        <v>32</v>
      </c>
      <c r="K11">
        <f t="shared" si="4"/>
        <v>62.5</v>
      </c>
      <c r="L11">
        <f t="shared" si="5"/>
        <v>12.5</v>
      </c>
      <c r="M11">
        <f t="shared" si="6"/>
        <v>12.5</v>
      </c>
      <c r="N11">
        <f t="shared" si="7"/>
        <v>12.5</v>
      </c>
      <c r="O11">
        <f t="shared" si="8"/>
        <v>0</v>
      </c>
      <c r="Q11">
        <v>2</v>
      </c>
      <c r="R11" s="2">
        <v>-100</v>
      </c>
      <c r="S11" s="2">
        <v>100</v>
      </c>
      <c r="T11" s="2"/>
      <c r="U11" s="2"/>
      <c r="V11" s="2"/>
    </row>
    <row r="12" spans="1:23">
      <c r="E12">
        <v>20</v>
      </c>
      <c r="F12">
        <v>4</v>
      </c>
      <c r="G12">
        <v>4</v>
      </c>
      <c r="H12">
        <v>4</v>
      </c>
      <c r="I12">
        <v>2</v>
      </c>
      <c r="J12">
        <f t="shared" si="3"/>
        <v>34</v>
      </c>
      <c r="K12">
        <f t="shared" si="4"/>
        <v>58.823529411764703</v>
      </c>
      <c r="L12">
        <f t="shared" si="5"/>
        <v>11.764705882352942</v>
      </c>
      <c r="M12">
        <f t="shared" si="6"/>
        <v>11.764705882352942</v>
      </c>
      <c r="N12">
        <f t="shared" si="7"/>
        <v>11.764705882352942</v>
      </c>
      <c r="O12">
        <f t="shared" si="8"/>
        <v>5.882352941176471</v>
      </c>
      <c r="Q12">
        <v>3</v>
      </c>
      <c r="R12" s="2"/>
      <c r="S12" s="2"/>
      <c r="T12" s="2"/>
      <c r="U12" s="2"/>
      <c r="V12" s="2"/>
    </row>
    <row r="13" spans="1:23">
      <c r="E13">
        <v>20</v>
      </c>
      <c r="F13">
        <v>4</v>
      </c>
      <c r="G13">
        <v>9.6</v>
      </c>
      <c r="H13">
        <v>0</v>
      </c>
      <c r="I13">
        <v>0</v>
      </c>
      <c r="J13">
        <f t="shared" si="3"/>
        <v>33.6</v>
      </c>
      <c r="K13">
        <f t="shared" si="4"/>
        <v>59.523809523809518</v>
      </c>
      <c r="L13">
        <f t="shared" si="5"/>
        <v>11.904761904761905</v>
      </c>
      <c r="M13">
        <f t="shared" si="6"/>
        <v>28.571428571428569</v>
      </c>
      <c r="N13">
        <f t="shared" si="7"/>
        <v>0</v>
      </c>
      <c r="O13">
        <f t="shared" si="8"/>
        <v>0</v>
      </c>
      <c r="Q13">
        <v>4</v>
      </c>
      <c r="R13" s="2"/>
      <c r="S13" s="2"/>
      <c r="T13" s="2"/>
      <c r="U13" s="2"/>
      <c r="V13" s="2"/>
    </row>
    <row r="14" spans="1:23">
      <c r="E14">
        <v>20</v>
      </c>
      <c r="F14">
        <v>4</v>
      </c>
      <c r="G14">
        <v>9.6</v>
      </c>
      <c r="H14">
        <v>0</v>
      </c>
      <c r="I14">
        <v>2</v>
      </c>
      <c r="J14">
        <f t="shared" si="3"/>
        <v>35.6</v>
      </c>
      <c r="K14">
        <f t="shared" si="4"/>
        <v>56.179775280898873</v>
      </c>
      <c r="L14">
        <f t="shared" si="5"/>
        <v>11.235955056179774</v>
      </c>
      <c r="M14">
        <f t="shared" si="6"/>
        <v>26.966292134831459</v>
      </c>
      <c r="N14">
        <f t="shared" si="7"/>
        <v>0</v>
      </c>
      <c r="O14">
        <f t="shared" si="8"/>
        <v>5.6179775280898872</v>
      </c>
      <c r="Q14">
        <v>5</v>
      </c>
      <c r="R14" s="2"/>
      <c r="S14" s="2"/>
      <c r="T14" s="2"/>
      <c r="U14" s="2"/>
      <c r="V14" s="2"/>
    </row>
    <row r="15" spans="1:23">
      <c r="E15">
        <v>20</v>
      </c>
      <c r="F15">
        <v>4</v>
      </c>
      <c r="G15">
        <v>9.6</v>
      </c>
      <c r="H15">
        <v>4</v>
      </c>
      <c r="I15">
        <v>0</v>
      </c>
      <c r="J15">
        <f t="shared" si="3"/>
        <v>37.6</v>
      </c>
      <c r="K15">
        <f t="shared" si="4"/>
        <v>53.191489361702125</v>
      </c>
      <c r="L15">
        <f t="shared" si="5"/>
        <v>10.638297872340425</v>
      </c>
      <c r="M15">
        <f t="shared" si="6"/>
        <v>25.531914893617021</v>
      </c>
      <c r="N15">
        <f t="shared" si="7"/>
        <v>10.638297872340425</v>
      </c>
      <c r="O15">
        <f t="shared" si="8"/>
        <v>0</v>
      </c>
    </row>
    <row r="16" spans="1:23">
      <c r="E16">
        <v>20</v>
      </c>
      <c r="F16">
        <v>4</v>
      </c>
      <c r="G16">
        <v>9.6</v>
      </c>
      <c r="H16">
        <v>4</v>
      </c>
      <c r="I16">
        <v>2</v>
      </c>
      <c r="J16">
        <f t="shared" si="3"/>
        <v>39.6</v>
      </c>
      <c r="K16">
        <f t="shared" si="4"/>
        <v>50.505050505050505</v>
      </c>
      <c r="L16">
        <f t="shared" si="5"/>
        <v>10.1010101010101</v>
      </c>
      <c r="M16">
        <f t="shared" si="6"/>
        <v>24.242424242424242</v>
      </c>
      <c r="N16">
        <f t="shared" si="7"/>
        <v>10.1010101010101</v>
      </c>
      <c r="O16">
        <f t="shared" si="8"/>
        <v>5.0505050505050502</v>
      </c>
    </row>
    <row r="17" spans="5:15">
      <c r="E17">
        <v>20</v>
      </c>
      <c r="F17">
        <v>4</v>
      </c>
      <c r="G17">
        <v>32</v>
      </c>
      <c r="H17">
        <v>0</v>
      </c>
      <c r="I17">
        <v>0</v>
      </c>
      <c r="J17">
        <f t="shared" si="3"/>
        <v>56</v>
      </c>
      <c r="K17">
        <f t="shared" si="4"/>
        <v>35.714285714285715</v>
      </c>
      <c r="L17">
        <f t="shared" si="5"/>
        <v>7.1428571428571432</v>
      </c>
      <c r="M17">
        <f t="shared" si="6"/>
        <v>57.142857142857146</v>
      </c>
      <c r="N17">
        <f t="shared" si="7"/>
        <v>0</v>
      </c>
      <c r="O17">
        <f t="shared" si="8"/>
        <v>0</v>
      </c>
    </row>
    <row r="18" spans="5:15">
      <c r="E18">
        <v>20</v>
      </c>
      <c r="F18">
        <v>4</v>
      </c>
      <c r="G18">
        <v>32</v>
      </c>
      <c r="H18">
        <v>0</v>
      </c>
      <c r="I18">
        <v>2</v>
      </c>
      <c r="J18">
        <f t="shared" si="3"/>
        <v>58</v>
      </c>
      <c r="K18">
        <f t="shared" si="4"/>
        <v>34.482758620689658</v>
      </c>
      <c r="L18">
        <f t="shared" si="5"/>
        <v>6.8965517241379306</v>
      </c>
      <c r="M18">
        <f t="shared" si="6"/>
        <v>55.172413793103445</v>
      </c>
      <c r="N18">
        <f t="shared" si="7"/>
        <v>0</v>
      </c>
      <c r="O18">
        <f t="shared" si="8"/>
        <v>3.4482758620689653</v>
      </c>
    </row>
    <row r="19" spans="5:15">
      <c r="E19">
        <v>20</v>
      </c>
      <c r="F19">
        <v>4</v>
      </c>
      <c r="G19">
        <v>32</v>
      </c>
      <c r="H19">
        <v>4</v>
      </c>
      <c r="I19">
        <v>0</v>
      </c>
      <c r="J19">
        <f t="shared" si="3"/>
        <v>60</v>
      </c>
      <c r="K19">
        <f t="shared" si="4"/>
        <v>33.333333333333336</v>
      </c>
      <c r="L19">
        <f t="shared" si="5"/>
        <v>6.666666666666667</v>
      </c>
      <c r="M19">
        <f t="shared" si="6"/>
        <v>53.333333333333336</v>
      </c>
      <c r="N19">
        <f t="shared" si="7"/>
        <v>6.666666666666667</v>
      </c>
      <c r="O19">
        <f t="shared" si="8"/>
        <v>0</v>
      </c>
    </row>
    <row r="20" spans="5:15">
      <c r="E20">
        <v>20</v>
      </c>
      <c r="F20">
        <v>4</v>
      </c>
      <c r="G20">
        <v>32</v>
      </c>
      <c r="H20">
        <v>4</v>
      </c>
      <c r="I20">
        <v>2</v>
      </c>
      <c r="J20">
        <f t="shared" si="3"/>
        <v>62</v>
      </c>
      <c r="K20">
        <f t="shared" si="4"/>
        <v>32.258064516129032</v>
      </c>
      <c r="L20">
        <f t="shared" si="5"/>
        <v>6.4516129032258061</v>
      </c>
      <c r="M20">
        <f t="shared" si="6"/>
        <v>51.612903225806448</v>
      </c>
      <c r="N20">
        <f t="shared" si="7"/>
        <v>6.4516129032258061</v>
      </c>
      <c r="O20">
        <f t="shared" si="8"/>
        <v>3.225806451612903</v>
      </c>
    </row>
    <row r="21" spans="5:15">
      <c r="E21">
        <v>20</v>
      </c>
      <c r="F21">
        <v>9.6</v>
      </c>
      <c r="G21">
        <v>4</v>
      </c>
      <c r="H21">
        <v>0</v>
      </c>
      <c r="I21">
        <v>0</v>
      </c>
      <c r="J21">
        <f t="shared" si="3"/>
        <v>33.6</v>
      </c>
      <c r="K21">
        <f t="shared" si="4"/>
        <v>59.523809523809518</v>
      </c>
      <c r="L21">
        <f t="shared" si="5"/>
        <v>28.571428571428569</v>
      </c>
      <c r="M21">
        <f t="shared" si="6"/>
        <v>11.904761904761905</v>
      </c>
      <c r="N21">
        <f t="shared" si="7"/>
        <v>0</v>
      </c>
      <c r="O21">
        <f t="shared" si="8"/>
        <v>0</v>
      </c>
    </row>
    <row r="22" spans="5:15">
      <c r="E22">
        <v>20</v>
      </c>
      <c r="F22">
        <v>9.6</v>
      </c>
      <c r="G22">
        <v>4</v>
      </c>
      <c r="H22">
        <v>0</v>
      </c>
      <c r="I22">
        <v>2</v>
      </c>
      <c r="J22">
        <f t="shared" si="3"/>
        <v>35.6</v>
      </c>
      <c r="K22">
        <f t="shared" si="4"/>
        <v>56.179775280898873</v>
      </c>
      <c r="L22">
        <f t="shared" si="5"/>
        <v>26.966292134831459</v>
      </c>
      <c r="M22">
        <f t="shared" si="6"/>
        <v>11.235955056179774</v>
      </c>
      <c r="N22">
        <f t="shared" si="7"/>
        <v>0</v>
      </c>
      <c r="O22">
        <f t="shared" si="8"/>
        <v>5.6179775280898872</v>
      </c>
    </row>
    <row r="23" spans="5:15">
      <c r="E23">
        <v>20</v>
      </c>
      <c r="F23">
        <v>9.6</v>
      </c>
      <c r="G23">
        <v>4</v>
      </c>
      <c r="H23">
        <v>4</v>
      </c>
      <c r="I23">
        <v>0</v>
      </c>
      <c r="J23">
        <f t="shared" si="3"/>
        <v>37.6</v>
      </c>
      <c r="K23">
        <f t="shared" si="4"/>
        <v>53.191489361702125</v>
      </c>
      <c r="L23">
        <f t="shared" si="5"/>
        <v>25.531914893617021</v>
      </c>
      <c r="M23">
        <f t="shared" si="6"/>
        <v>10.638297872340425</v>
      </c>
      <c r="N23">
        <f t="shared" si="7"/>
        <v>10.638297872340425</v>
      </c>
      <c r="O23">
        <f t="shared" si="8"/>
        <v>0</v>
      </c>
    </row>
    <row r="24" spans="5:15">
      <c r="E24">
        <v>20</v>
      </c>
      <c r="F24">
        <v>9.6</v>
      </c>
      <c r="G24">
        <v>4</v>
      </c>
      <c r="H24">
        <v>4</v>
      </c>
      <c r="I24">
        <v>2</v>
      </c>
      <c r="J24">
        <f t="shared" si="3"/>
        <v>39.6</v>
      </c>
      <c r="K24">
        <f t="shared" si="4"/>
        <v>50.505050505050505</v>
      </c>
      <c r="L24">
        <f t="shared" si="5"/>
        <v>24.242424242424242</v>
      </c>
      <c r="M24">
        <f t="shared" si="6"/>
        <v>10.1010101010101</v>
      </c>
      <c r="N24">
        <f t="shared" si="7"/>
        <v>10.1010101010101</v>
      </c>
      <c r="O24">
        <f t="shared" si="8"/>
        <v>5.0505050505050502</v>
      </c>
    </row>
    <row r="25" spans="5:15">
      <c r="E25">
        <v>20</v>
      </c>
      <c r="F25">
        <v>9.6</v>
      </c>
      <c r="G25">
        <v>9.6</v>
      </c>
      <c r="H25">
        <v>0</v>
      </c>
      <c r="I25">
        <v>0</v>
      </c>
      <c r="J25">
        <f t="shared" si="3"/>
        <v>39.200000000000003</v>
      </c>
      <c r="K25">
        <f t="shared" si="4"/>
        <v>51.020408163265301</v>
      </c>
      <c r="L25">
        <f t="shared" si="5"/>
        <v>24.489795918367346</v>
      </c>
      <c r="M25">
        <f t="shared" si="6"/>
        <v>24.489795918367346</v>
      </c>
      <c r="N25">
        <f t="shared" si="7"/>
        <v>0</v>
      </c>
      <c r="O25">
        <f t="shared" si="8"/>
        <v>0</v>
      </c>
    </row>
    <row r="26" spans="5:15">
      <c r="E26">
        <v>20</v>
      </c>
      <c r="F26">
        <v>9.6</v>
      </c>
      <c r="G26">
        <v>9.6</v>
      </c>
      <c r="H26">
        <v>0</v>
      </c>
      <c r="I26">
        <v>2</v>
      </c>
      <c r="J26">
        <f t="shared" si="3"/>
        <v>41.2</v>
      </c>
      <c r="K26">
        <f t="shared" si="4"/>
        <v>48.543689320388346</v>
      </c>
      <c r="L26">
        <f t="shared" si="5"/>
        <v>23.300970873786405</v>
      </c>
      <c r="M26">
        <f t="shared" si="6"/>
        <v>23.300970873786405</v>
      </c>
      <c r="N26">
        <f t="shared" si="7"/>
        <v>0</v>
      </c>
      <c r="O26">
        <f t="shared" si="8"/>
        <v>4.8543689320388346</v>
      </c>
    </row>
    <row r="27" spans="5:15">
      <c r="E27">
        <v>20</v>
      </c>
      <c r="F27">
        <v>9.6</v>
      </c>
      <c r="G27">
        <v>9.6</v>
      </c>
      <c r="H27">
        <v>4</v>
      </c>
      <c r="I27">
        <v>0</v>
      </c>
      <c r="J27">
        <f t="shared" si="3"/>
        <v>43.2</v>
      </c>
      <c r="K27">
        <f t="shared" si="4"/>
        <v>46.296296296296291</v>
      </c>
      <c r="L27">
        <f t="shared" si="5"/>
        <v>22.222222222222221</v>
      </c>
      <c r="M27">
        <f t="shared" si="6"/>
        <v>22.222222222222221</v>
      </c>
      <c r="N27">
        <f t="shared" si="7"/>
        <v>9.2592592592592595</v>
      </c>
      <c r="O27">
        <f t="shared" si="8"/>
        <v>0</v>
      </c>
    </row>
    <row r="28" spans="5:15">
      <c r="E28">
        <v>20</v>
      </c>
      <c r="F28">
        <v>9.6</v>
      </c>
      <c r="G28">
        <v>9.6</v>
      </c>
      <c r="H28">
        <v>4</v>
      </c>
      <c r="I28">
        <v>2</v>
      </c>
      <c r="J28">
        <f t="shared" si="3"/>
        <v>45.2</v>
      </c>
      <c r="K28">
        <f t="shared" si="4"/>
        <v>44.247787610619469</v>
      </c>
      <c r="L28">
        <f t="shared" si="5"/>
        <v>21.238938053097343</v>
      </c>
      <c r="M28">
        <f t="shared" si="6"/>
        <v>21.238938053097343</v>
      </c>
      <c r="N28">
        <f t="shared" si="7"/>
        <v>8.8495575221238933</v>
      </c>
      <c r="O28">
        <f t="shared" si="8"/>
        <v>4.4247787610619467</v>
      </c>
    </row>
    <row r="29" spans="5:15">
      <c r="E29">
        <v>20</v>
      </c>
      <c r="F29">
        <v>9.6</v>
      </c>
      <c r="G29">
        <v>32</v>
      </c>
      <c r="H29">
        <v>0</v>
      </c>
      <c r="I29">
        <v>0</v>
      </c>
      <c r="J29">
        <f t="shared" si="3"/>
        <v>61.6</v>
      </c>
      <c r="K29">
        <f t="shared" si="4"/>
        <v>32.467532467532465</v>
      </c>
      <c r="L29">
        <f t="shared" si="5"/>
        <v>15.584415584415584</v>
      </c>
      <c r="M29">
        <f t="shared" si="6"/>
        <v>51.948051948051948</v>
      </c>
      <c r="N29">
        <f t="shared" si="7"/>
        <v>0</v>
      </c>
      <c r="O29">
        <f t="shared" si="8"/>
        <v>0</v>
      </c>
    </row>
    <row r="30" spans="5:15">
      <c r="E30">
        <v>20</v>
      </c>
      <c r="F30">
        <v>9.6</v>
      </c>
      <c r="G30">
        <v>32</v>
      </c>
      <c r="H30">
        <v>0</v>
      </c>
      <c r="I30">
        <v>2</v>
      </c>
      <c r="J30">
        <f t="shared" si="3"/>
        <v>63.6</v>
      </c>
      <c r="K30">
        <f t="shared" si="4"/>
        <v>31.446540880503143</v>
      </c>
      <c r="L30">
        <f t="shared" si="5"/>
        <v>15.09433962264151</v>
      </c>
      <c r="M30">
        <f t="shared" si="6"/>
        <v>50.314465408805027</v>
      </c>
      <c r="N30">
        <f t="shared" si="7"/>
        <v>0</v>
      </c>
      <c r="O30">
        <f t="shared" si="8"/>
        <v>3.1446540880503142</v>
      </c>
    </row>
    <row r="31" spans="5:15">
      <c r="E31">
        <v>20</v>
      </c>
      <c r="F31">
        <v>9.6</v>
      </c>
      <c r="G31">
        <v>32</v>
      </c>
      <c r="H31">
        <v>4</v>
      </c>
      <c r="I31">
        <v>0</v>
      </c>
      <c r="J31">
        <f t="shared" si="3"/>
        <v>65.599999999999994</v>
      </c>
      <c r="K31">
        <f t="shared" si="4"/>
        <v>30.487804878048784</v>
      </c>
      <c r="L31">
        <f t="shared" si="5"/>
        <v>14.634146341463415</v>
      </c>
      <c r="M31">
        <f t="shared" si="6"/>
        <v>48.780487804878049</v>
      </c>
      <c r="N31">
        <f t="shared" si="7"/>
        <v>6.0975609756097562</v>
      </c>
      <c r="O31">
        <f t="shared" si="8"/>
        <v>0</v>
      </c>
    </row>
    <row r="32" spans="5:15">
      <c r="E32">
        <v>20</v>
      </c>
      <c r="F32">
        <v>9.6</v>
      </c>
      <c r="G32">
        <v>32</v>
      </c>
      <c r="H32">
        <v>4</v>
      </c>
      <c r="I32">
        <v>2</v>
      </c>
      <c r="J32">
        <f t="shared" si="3"/>
        <v>67.599999999999994</v>
      </c>
      <c r="K32">
        <f t="shared" si="4"/>
        <v>29.585798816568051</v>
      </c>
      <c r="L32">
        <f t="shared" si="5"/>
        <v>14.201183431952664</v>
      </c>
      <c r="M32">
        <f t="shared" si="6"/>
        <v>47.337278106508883</v>
      </c>
      <c r="N32">
        <f t="shared" si="7"/>
        <v>5.9171597633136104</v>
      </c>
      <c r="O32">
        <f t="shared" si="8"/>
        <v>2.9585798816568052</v>
      </c>
    </row>
    <row r="33" spans="5:15">
      <c r="E33">
        <v>20</v>
      </c>
      <c r="F33">
        <v>32</v>
      </c>
      <c r="G33">
        <v>4</v>
      </c>
      <c r="H33">
        <v>0</v>
      </c>
      <c r="I33">
        <v>0</v>
      </c>
      <c r="J33">
        <f t="shared" si="3"/>
        <v>56</v>
      </c>
      <c r="K33">
        <f t="shared" si="4"/>
        <v>35.714285714285715</v>
      </c>
      <c r="L33">
        <f t="shared" si="5"/>
        <v>57.142857142857146</v>
      </c>
      <c r="M33">
        <f t="shared" si="6"/>
        <v>7.1428571428571432</v>
      </c>
      <c r="N33">
        <f t="shared" si="7"/>
        <v>0</v>
      </c>
      <c r="O33">
        <f t="shared" si="8"/>
        <v>0</v>
      </c>
    </row>
    <row r="34" spans="5:15">
      <c r="E34">
        <v>20</v>
      </c>
      <c r="F34">
        <v>32</v>
      </c>
      <c r="G34">
        <v>4</v>
      </c>
      <c r="H34">
        <v>0</v>
      </c>
      <c r="I34">
        <v>2</v>
      </c>
      <c r="J34">
        <f t="shared" si="3"/>
        <v>58</v>
      </c>
      <c r="K34">
        <f t="shared" si="4"/>
        <v>34.482758620689658</v>
      </c>
      <c r="L34">
        <f t="shared" si="5"/>
        <v>55.172413793103445</v>
      </c>
      <c r="M34">
        <f t="shared" si="6"/>
        <v>6.8965517241379306</v>
      </c>
      <c r="N34">
        <f t="shared" si="7"/>
        <v>0</v>
      </c>
      <c r="O34">
        <f t="shared" si="8"/>
        <v>3.4482758620689653</v>
      </c>
    </row>
    <row r="35" spans="5:15">
      <c r="E35">
        <v>20</v>
      </c>
      <c r="F35">
        <v>32</v>
      </c>
      <c r="G35">
        <v>4</v>
      </c>
      <c r="H35">
        <v>4</v>
      </c>
      <c r="I35">
        <v>0</v>
      </c>
      <c r="J35">
        <f t="shared" si="3"/>
        <v>60</v>
      </c>
      <c r="K35">
        <f t="shared" si="4"/>
        <v>33.333333333333336</v>
      </c>
      <c r="L35">
        <f t="shared" si="5"/>
        <v>53.333333333333336</v>
      </c>
      <c r="M35">
        <f t="shared" si="6"/>
        <v>6.666666666666667</v>
      </c>
      <c r="N35">
        <f t="shared" si="7"/>
        <v>6.666666666666667</v>
      </c>
      <c r="O35">
        <f t="shared" si="8"/>
        <v>0</v>
      </c>
    </row>
    <row r="36" spans="5:15">
      <c r="E36">
        <v>20</v>
      </c>
      <c r="F36">
        <v>32</v>
      </c>
      <c r="G36">
        <v>4</v>
      </c>
      <c r="H36">
        <v>4</v>
      </c>
      <c r="I36">
        <v>2</v>
      </c>
      <c r="J36">
        <f t="shared" si="3"/>
        <v>62</v>
      </c>
      <c r="K36">
        <f t="shared" si="4"/>
        <v>32.258064516129032</v>
      </c>
      <c r="L36">
        <f t="shared" si="5"/>
        <v>51.612903225806448</v>
      </c>
      <c r="M36">
        <f t="shared" si="6"/>
        <v>6.4516129032258061</v>
      </c>
      <c r="N36">
        <f t="shared" si="7"/>
        <v>6.4516129032258061</v>
      </c>
      <c r="O36">
        <f t="shared" si="8"/>
        <v>3.225806451612903</v>
      </c>
    </row>
    <row r="37" spans="5:15">
      <c r="E37">
        <v>20</v>
      </c>
      <c r="F37">
        <v>32</v>
      </c>
      <c r="G37">
        <v>9.6</v>
      </c>
      <c r="H37">
        <v>0</v>
      </c>
      <c r="I37">
        <v>0</v>
      </c>
      <c r="J37">
        <f t="shared" si="3"/>
        <v>61.6</v>
      </c>
      <c r="K37">
        <f t="shared" si="4"/>
        <v>32.467532467532465</v>
      </c>
      <c r="L37">
        <f t="shared" si="5"/>
        <v>51.948051948051948</v>
      </c>
      <c r="M37">
        <f t="shared" si="6"/>
        <v>15.584415584415584</v>
      </c>
      <c r="N37">
        <f t="shared" si="7"/>
        <v>0</v>
      </c>
      <c r="O37">
        <f t="shared" si="8"/>
        <v>0</v>
      </c>
    </row>
    <row r="38" spans="5:15">
      <c r="E38">
        <v>20</v>
      </c>
      <c r="F38">
        <v>32</v>
      </c>
      <c r="G38">
        <v>9.6</v>
      </c>
      <c r="H38">
        <v>0</v>
      </c>
      <c r="I38">
        <v>2</v>
      </c>
      <c r="J38">
        <f t="shared" si="3"/>
        <v>63.6</v>
      </c>
      <c r="K38">
        <f t="shared" si="4"/>
        <v>31.446540880503143</v>
      </c>
      <c r="L38">
        <f t="shared" si="5"/>
        <v>50.314465408805027</v>
      </c>
      <c r="M38">
        <f t="shared" si="6"/>
        <v>15.09433962264151</v>
      </c>
      <c r="N38">
        <f t="shared" si="7"/>
        <v>0</v>
      </c>
      <c r="O38">
        <f t="shared" si="8"/>
        <v>3.1446540880503142</v>
      </c>
    </row>
    <row r="39" spans="5:15">
      <c r="E39">
        <v>20</v>
      </c>
      <c r="F39">
        <v>32</v>
      </c>
      <c r="G39">
        <v>9.6</v>
      </c>
      <c r="H39">
        <v>4</v>
      </c>
      <c r="I39">
        <v>0</v>
      </c>
      <c r="J39">
        <f t="shared" si="3"/>
        <v>65.599999999999994</v>
      </c>
      <c r="K39">
        <f t="shared" si="4"/>
        <v>30.487804878048784</v>
      </c>
      <c r="L39">
        <f t="shared" si="5"/>
        <v>48.780487804878049</v>
      </c>
      <c r="M39">
        <f t="shared" si="6"/>
        <v>14.634146341463415</v>
      </c>
      <c r="N39">
        <f t="shared" si="7"/>
        <v>6.0975609756097562</v>
      </c>
      <c r="O39">
        <f t="shared" si="8"/>
        <v>0</v>
      </c>
    </row>
    <row r="40" spans="5:15">
      <c r="E40">
        <v>20</v>
      </c>
      <c r="F40">
        <v>32</v>
      </c>
      <c r="G40">
        <v>9.6</v>
      </c>
      <c r="H40">
        <v>4</v>
      </c>
      <c r="I40">
        <v>2</v>
      </c>
      <c r="J40">
        <f t="shared" si="3"/>
        <v>67.599999999999994</v>
      </c>
      <c r="K40">
        <f t="shared" si="4"/>
        <v>29.585798816568051</v>
      </c>
      <c r="L40">
        <f t="shared" si="5"/>
        <v>47.337278106508883</v>
      </c>
      <c r="M40">
        <f t="shared" si="6"/>
        <v>14.201183431952664</v>
      </c>
      <c r="N40">
        <f t="shared" si="7"/>
        <v>5.9171597633136104</v>
      </c>
      <c r="O40">
        <f t="shared" si="8"/>
        <v>2.9585798816568052</v>
      </c>
    </row>
    <row r="41" spans="5:15">
      <c r="E41">
        <v>20</v>
      </c>
      <c r="F41">
        <v>32</v>
      </c>
      <c r="G41">
        <v>32</v>
      </c>
      <c r="H41">
        <v>0</v>
      </c>
      <c r="I41">
        <v>0</v>
      </c>
      <c r="J41">
        <f t="shared" si="3"/>
        <v>84</v>
      </c>
      <c r="K41">
        <f t="shared" si="4"/>
        <v>23.80952380952381</v>
      </c>
      <c r="L41">
        <f t="shared" si="5"/>
        <v>38.095238095238095</v>
      </c>
      <c r="M41">
        <f t="shared" si="6"/>
        <v>38.095238095238095</v>
      </c>
      <c r="N41">
        <f t="shared" si="7"/>
        <v>0</v>
      </c>
      <c r="O41">
        <f t="shared" si="8"/>
        <v>0</v>
      </c>
    </row>
    <row r="42" spans="5:15">
      <c r="E42">
        <v>20</v>
      </c>
      <c r="F42">
        <v>32</v>
      </c>
      <c r="G42">
        <v>32</v>
      </c>
      <c r="H42">
        <v>0</v>
      </c>
      <c r="I42">
        <v>2</v>
      </c>
      <c r="J42">
        <f t="shared" si="3"/>
        <v>86</v>
      </c>
      <c r="K42">
        <f t="shared" si="4"/>
        <v>23.255813953488371</v>
      </c>
      <c r="L42">
        <f t="shared" si="5"/>
        <v>37.209302325581397</v>
      </c>
      <c r="M42">
        <f t="shared" si="6"/>
        <v>37.209302325581397</v>
      </c>
      <c r="N42">
        <f t="shared" si="7"/>
        <v>0</v>
      </c>
      <c r="O42">
        <f t="shared" si="8"/>
        <v>2.3255813953488373</v>
      </c>
    </row>
    <row r="43" spans="5:15">
      <c r="E43">
        <v>20</v>
      </c>
      <c r="F43">
        <v>32</v>
      </c>
      <c r="G43">
        <v>32</v>
      </c>
      <c r="H43">
        <v>4</v>
      </c>
      <c r="I43">
        <v>0</v>
      </c>
      <c r="J43">
        <f t="shared" si="3"/>
        <v>88</v>
      </c>
      <c r="K43">
        <f t="shared" si="4"/>
        <v>22.727272727272727</v>
      </c>
      <c r="L43">
        <f t="shared" si="5"/>
        <v>36.363636363636367</v>
      </c>
      <c r="M43">
        <f t="shared" si="6"/>
        <v>36.363636363636367</v>
      </c>
      <c r="N43">
        <f t="shared" si="7"/>
        <v>4.5454545454545459</v>
      </c>
      <c r="O43">
        <f t="shared" si="8"/>
        <v>0</v>
      </c>
    </row>
    <row r="44" spans="5:15">
      <c r="E44">
        <v>20</v>
      </c>
      <c r="F44">
        <v>32</v>
      </c>
      <c r="G44">
        <v>32</v>
      </c>
      <c r="H44">
        <v>4</v>
      </c>
      <c r="I44">
        <v>2</v>
      </c>
      <c r="J44">
        <f t="shared" si="3"/>
        <v>90</v>
      </c>
      <c r="K44">
        <f t="shared" si="4"/>
        <v>22.222222222222221</v>
      </c>
      <c r="L44">
        <f t="shared" si="5"/>
        <v>35.555555555555557</v>
      </c>
      <c r="M44">
        <f t="shared" si="6"/>
        <v>35.555555555555557</v>
      </c>
      <c r="N44">
        <f t="shared" si="7"/>
        <v>4.4444444444444446</v>
      </c>
      <c r="O44">
        <f t="shared" si="8"/>
        <v>2.2222222222222223</v>
      </c>
    </row>
    <row r="45" spans="5:15">
      <c r="E45">
        <v>20</v>
      </c>
      <c r="F45">
        <v>32</v>
      </c>
      <c r="G45">
        <v>4</v>
      </c>
      <c r="H45">
        <v>0</v>
      </c>
      <c r="I45">
        <v>0</v>
      </c>
      <c r="J45">
        <f t="shared" si="3"/>
        <v>56</v>
      </c>
      <c r="K45">
        <f t="shared" si="4"/>
        <v>35.714285714285715</v>
      </c>
      <c r="L45">
        <f t="shared" si="5"/>
        <v>57.142857142857146</v>
      </c>
      <c r="M45">
        <f t="shared" si="6"/>
        <v>7.1428571428571432</v>
      </c>
      <c r="N45">
        <f t="shared" si="7"/>
        <v>0</v>
      </c>
      <c r="O45">
        <f t="shared" si="8"/>
        <v>0</v>
      </c>
    </row>
    <row r="46" spans="5:15">
      <c r="E46">
        <v>20</v>
      </c>
      <c r="F46">
        <v>32</v>
      </c>
      <c r="G46">
        <v>4</v>
      </c>
      <c r="H46">
        <v>0</v>
      </c>
      <c r="I46">
        <v>2</v>
      </c>
      <c r="J46">
        <f t="shared" si="3"/>
        <v>58</v>
      </c>
      <c r="K46">
        <f t="shared" si="4"/>
        <v>34.482758620689658</v>
      </c>
      <c r="L46">
        <f t="shared" si="5"/>
        <v>55.172413793103445</v>
      </c>
      <c r="M46">
        <f t="shared" si="6"/>
        <v>6.8965517241379306</v>
      </c>
      <c r="N46">
        <f t="shared" si="7"/>
        <v>0</v>
      </c>
      <c r="O46">
        <f t="shared" si="8"/>
        <v>3.4482758620689653</v>
      </c>
    </row>
    <row r="47" spans="5:15">
      <c r="E47">
        <v>20</v>
      </c>
      <c r="F47">
        <v>32</v>
      </c>
      <c r="G47">
        <v>4</v>
      </c>
      <c r="H47">
        <v>4</v>
      </c>
      <c r="I47">
        <v>0</v>
      </c>
      <c r="J47">
        <f t="shared" si="3"/>
        <v>60</v>
      </c>
      <c r="K47">
        <f t="shared" si="4"/>
        <v>33.333333333333336</v>
      </c>
      <c r="L47">
        <f t="shared" si="5"/>
        <v>53.333333333333336</v>
      </c>
      <c r="M47">
        <f t="shared" si="6"/>
        <v>6.666666666666667</v>
      </c>
      <c r="N47">
        <f t="shared" si="7"/>
        <v>6.666666666666667</v>
      </c>
      <c r="O47">
        <f t="shared" si="8"/>
        <v>0</v>
      </c>
    </row>
    <row r="48" spans="5:15">
      <c r="E48">
        <v>20</v>
      </c>
      <c r="F48">
        <v>32</v>
      </c>
      <c r="G48">
        <v>4</v>
      </c>
      <c r="H48">
        <v>4</v>
      </c>
      <c r="I48">
        <v>2</v>
      </c>
      <c r="J48">
        <f t="shared" si="3"/>
        <v>62</v>
      </c>
      <c r="K48">
        <f t="shared" si="4"/>
        <v>32.258064516129032</v>
      </c>
      <c r="L48">
        <f t="shared" si="5"/>
        <v>51.612903225806448</v>
      </c>
      <c r="M48">
        <f t="shared" si="6"/>
        <v>6.4516129032258061</v>
      </c>
      <c r="N48">
        <f t="shared" si="7"/>
        <v>6.4516129032258061</v>
      </c>
      <c r="O48">
        <f t="shared" si="8"/>
        <v>3.225806451612903</v>
      </c>
    </row>
    <row r="49" spans="5:15">
      <c r="E49">
        <v>20</v>
      </c>
      <c r="F49">
        <v>32</v>
      </c>
      <c r="G49">
        <v>9.6</v>
      </c>
      <c r="H49">
        <v>0</v>
      </c>
      <c r="I49">
        <v>0</v>
      </c>
      <c r="J49">
        <f t="shared" si="3"/>
        <v>61.6</v>
      </c>
      <c r="K49">
        <f t="shared" si="4"/>
        <v>32.467532467532465</v>
      </c>
      <c r="L49">
        <f t="shared" si="5"/>
        <v>51.948051948051948</v>
      </c>
      <c r="M49">
        <f t="shared" si="6"/>
        <v>15.584415584415584</v>
      </c>
      <c r="N49">
        <f t="shared" si="7"/>
        <v>0</v>
      </c>
      <c r="O49">
        <f t="shared" si="8"/>
        <v>0</v>
      </c>
    </row>
    <row r="50" spans="5:15">
      <c r="E50">
        <v>20</v>
      </c>
      <c r="F50">
        <v>32</v>
      </c>
      <c r="G50">
        <v>9.6</v>
      </c>
      <c r="H50">
        <v>0</v>
      </c>
      <c r="I50">
        <v>2</v>
      </c>
      <c r="J50">
        <f t="shared" si="3"/>
        <v>63.6</v>
      </c>
      <c r="K50">
        <f t="shared" si="4"/>
        <v>31.446540880503143</v>
      </c>
      <c r="L50">
        <f t="shared" si="5"/>
        <v>50.314465408805027</v>
      </c>
      <c r="M50">
        <f t="shared" si="6"/>
        <v>15.09433962264151</v>
      </c>
      <c r="N50">
        <f t="shared" si="7"/>
        <v>0</v>
      </c>
      <c r="O50">
        <f t="shared" si="8"/>
        <v>3.1446540880503142</v>
      </c>
    </row>
    <row r="51" spans="5:15">
      <c r="E51">
        <v>20</v>
      </c>
      <c r="F51">
        <v>32</v>
      </c>
      <c r="G51">
        <v>9.6</v>
      </c>
      <c r="H51">
        <v>4</v>
      </c>
      <c r="I51">
        <v>0</v>
      </c>
      <c r="J51">
        <f t="shared" si="3"/>
        <v>65.599999999999994</v>
      </c>
      <c r="K51">
        <f t="shared" si="4"/>
        <v>30.487804878048784</v>
      </c>
      <c r="L51">
        <f t="shared" si="5"/>
        <v>48.780487804878049</v>
      </c>
      <c r="M51">
        <f t="shared" si="6"/>
        <v>14.634146341463415</v>
      </c>
      <c r="N51">
        <f t="shared" si="7"/>
        <v>6.0975609756097562</v>
      </c>
      <c r="O51">
        <f t="shared" si="8"/>
        <v>0</v>
      </c>
    </row>
    <row r="52" spans="5:15">
      <c r="E52">
        <v>20</v>
      </c>
      <c r="F52">
        <v>32</v>
      </c>
      <c r="G52">
        <v>9.6</v>
      </c>
      <c r="H52">
        <v>4</v>
      </c>
      <c r="I52">
        <v>2</v>
      </c>
      <c r="J52">
        <f t="shared" si="3"/>
        <v>67.599999999999994</v>
      </c>
      <c r="K52">
        <f t="shared" si="4"/>
        <v>29.585798816568051</v>
      </c>
      <c r="L52">
        <f t="shared" si="5"/>
        <v>47.337278106508883</v>
      </c>
      <c r="M52">
        <f t="shared" si="6"/>
        <v>14.201183431952664</v>
      </c>
      <c r="N52">
        <f t="shared" si="7"/>
        <v>5.9171597633136104</v>
      </c>
      <c r="O52">
        <f t="shared" si="8"/>
        <v>2.9585798816568052</v>
      </c>
    </row>
    <row r="53" spans="5:15">
      <c r="E53">
        <v>20</v>
      </c>
      <c r="F53">
        <v>32</v>
      </c>
      <c r="G53">
        <v>32</v>
      </c>
      <c r="H53">
        <v>0</v>
      </c>
      <c r="I53">
        <v>0</v>
      </c>
      <c r="J53">
        <f t="shared" si="3"/>
        <v>84</v>
      </c>
      <c r="K53">
        <f t="shared" si="4"/>
        <v>23.80952380952381</v>
      </c>
      <c r="L53">
        <f t="shared" si="5"/>
        <v>38.095238095238095</v>
      </c>
      <c r="M53">
        <f t="shared" si="6"/>
        <v>38.095238095238095</v>
      </c>
      <c r="N53">
        <f t="shared" si="7"/>
        <v>0</v>
      </c>
      <c r="O53">
        <f t="shared" si="8"/>
        <v>0</v>
      </c>
    </row>
    <row r="54" spans="5:15">
      <c r="E54">
        <v>20</v>
      </c>
      <c r="F54">
        <v>32</v>
      </c>
      <c r="G54">
        <v>32</v>
      </c>
      <c r="H54">
        <v>0</v>
      </c>
      <c r="I54">
        <v>2</v>
      </c>
      <c r="J54">
        <f t="shared" si="3"/>
        <v>86</v>
      </c>
      <c r="K54">
        <f t="shared" si="4"/>
        <v>23.255813953488371</v>
      </c>
      <c r="L54">
        <f t="shared" si="5"/>
        <v>37.209302325581397</v>
      </c>
      <c r="M54">
        <f t="shared" si="6"/>
        <v>37.209302325581397</v>
      </c>
      <c r="N54">
        <f t="shared" si="7"/>
        <v>0</v>
      </c>
      <c r="O54">
        <f t="shared" si="8"/>
        <v>2.3255813953488373</v>
      </c>
    </row>
    <row r="55" spans="5:15">
      <c r="E55">
        <v>20</v>
      </c>
      <c r="F55">
        <v>32</v>
      </c>
      <c r="G55">
        <v>32</v>
      </c>
      <c r="H55">
        <v>4</v>
      </c>
      <c r="I55">
        <v>0</v>
      </c>
      <c r="J55">
        <f t="shared" si="3"/>
        <v>88</v>
      </c>
      <c r="K55">
        <f t="shared" si="4"/>
        <v>22.727272727272727</v>
      </c>
      <c r="L55">
        <f t="shared" si="5"/>
        <v>36.363636363636367</v>
      </c>
      <c r="M55">
        <f t="shared" si="6"/>
        <v>36.363636363636367</v>
      </c>
      <c r="N55">
        <f t="shared" si="7"/>
        <v>4.5454545454545459</v>
      </c>
      <c r="O55">
        <f t="shared" si="8"/>
        <v>0</v>
      </c>
    </row>
    <row r="56" spans="5:15">
      <c r="E56">
        <v>20</v>
      </c>
      <c r="F56">
        <v>32</v>
      </c>
      <c r="G56">
        <v>32</v>
      </c>
      <c r="H56">
        <v>4</v>
      </c>
      <c r="I56">
        <v>2</v>
      </c>
      <c r="J56">
        <f t="shared" si="3"/>
        <v>90</v>
      </c>
      <c r="K56">
        <f t="shared" si="4"/>
        <v>22.222222222222221</v>
      </c>
      <c r="L56">
        <f t="shared" si="5"/>
        <v>35.555555555555557</v>
      </c>
      <c r="M56">
        <f t="shared" si="6"/>
        <v>35.555555555555557</v>
      </c>
      <c r="N56">
        <f t="shared" si="7"/>
        <v>4.4444444444444446</v>
      </c>
      <c r="O56">
        <f t="shared" si="8"/>
        <v>2.2222222222222223</v>
      </c>
    </row>
  </sheetData>
  <mergeCells count="5">
    <mergeCell ref="A1:C1"/>
    <mergeCell ref="D1:F1"/>
    <mergeCell ref="G1:I1"/>
    <mergeCell ref="J1:L1"/>
    <mergeCell ref="M1:O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CBM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2025-05-23T10:45:48Z</dcterms:created>
  <dcterms:modified xsi:type="dcterms:W3CDTF">2025-07-23T14:31:22Z</dcterms:modified>
</cp:coreProperties>
</file>